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dolf\Downloads\C1 software de productividad\"/>
    </mc:Choice>
  </mc:AlternateContent>
  <xr:revisionPtr revIDLastSave="0" documentId="13_ncr:1_{AA8D196E-AADD-406F-8CEC-9328F7EC1CF4}" xr6:coauthVersionLast="47" xr6:coauthVersionMax="47" xr10:uidLastSave="{00000000-0000-0000-0000-000000000000}"/>
  <bookViews>
    <workbookView xWindow="-98" yWindow="-98" windowWidth="21795" windowHeight="13695" activeTab="7" xr2:uid="{00000000-000D-0000-FFFF-FFFF00000000}"/>
  </bookViews>
  <sheets>
    <sheet name="Identificación" sheetId="7" r:id="rId1"/>
    <sheet name="PLANILLA" sheetId="1" r:id="rId2"/>
    <sheet name="ESPECIALIDADES" sheetId="2" r:id="rId3"/>
    <sheet name="PACIENTES" sheetId="3" r:id="rId4"/>
    <sheet name="CLINICAS" sheetId="4" r:id="rId5"/>
    <sheet name="MEDICOS" sheetId="5" r:id="rId6"/>
    <sheet name="ORDEN" sheetId="12" r:id="rId7"/>
    <sheet name="GRAFICO" sheetId="13" r:id="rId8"/>
    <sheet name="TABLA DINAMICA" sheetId="11" r:id="rId9"/>
  </sheets>
  <calcPr calcId="191029"/>
  <pivotCaches>
    <pivotCache cacheId="36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" i="12" l="1"/>
  <c r="J13" i="12"/>
  <c r="I13" i="12"/>
  <c r="H13" i="12"/>
  <c r="E13" i="12"/>
  <c r="K10" i="12"/>
  <c r="J10" i="12"/>
  <c r="I10" i="12"/>
  <c r="H10" i="12"/>
  <c r="E10" i="12"/>
  <c r="K18" i="12"/>
  <c r="J18" i="12"/>
  <c r="I18" i="12"/>
  <c r="H18" i="12"/>
  <c r="E18" i="12"/>
  <c r="K9" i="12"/>
  <c r="J9" i="12"/>
  <c r="I9" i="12"/>
  <c r="H9" i="12"/>
  <c r="E9" i="12"/>
  <c r="K16" i="12"/>
  <c r="J16" i="12"/>
  <c r="I16" i="12"/>
  <c r="H16" i="12"/>
  <c r="E16" i="12"/>
  <c r="K15" i="12"/>
  <c r="J15" i="12"/>
  <c r="I15" i="12"/>
  <c r="H15" i="12"/>
  <c r="E15" i="12"/>
  <c r="K14" i="12"/>
  <c r="J14" i="12"/>
  <c r="I14" i="12"/>
  <c r="H14" i="12"/>
  <c r="E14" i="12"/>
  <c r="K8" i="12"/>
  <c r="J8" i="12"/>
  <c r="I8" i="12"/>
  <c r="H8" i="12"/>
  <c r="E8" i="12"/>
  <c r="K11" i="12"/>
  <c r="J11" i="12"/>
  <c r="I11" i="12"/>
  <c r="H11" i="12"/>
  <c r="E11" i="12"/>
  <c r="K12" i="12"/>
  <c r="J12" i="12"/>
  <c r="I12" i="12"/>
  <c r="H12" i="12"/>
  <c r="E12" i="12"/>
  <c r="K17" i="12"/>
  <c r="J17" i="12"/>
  <c r="I17" i="12"/>
  <c r="H17" i="12"/>
  <c r="E17" i="12"/>
  <c r="I1" i="12"/>
  <c r="K9" i="1"/>
  <c r="K10" i="1"/>
  <c r="K11" i="1"/>
  <c r="K12" i="1"/>
  <c r="K13" i="1"/>
  <c r="K14" i="1"/>
  <c r="K15" i="1"/>
  <c r="K16" i="1"/>
  <c r="K17" i="1"/>
  <c r="K18" i="1"/>
  <c r="K8" i="1"/>
  <c r="K19" i="1" s="1"/>
  <c r="J9" i="1"/>
  <c r="J10" i="1"/>
  <c r="J11" i="1"/>
  <c r="J12" i="1"/>
  <c r="J13" i="1"/>
  <c r="J14" i="1"/>
  <c r="J15" i="1"/>
  <c r="J16" i="1"/>
  <c r="J17" i="1"/>
  <c r="J18" i="1"/>
  <c r="J8" i="1"/>
  <c r="I9" i="1"/>
  <c r="I10" i="1"/>
  <c r="I11" i="1"/>
  <c r="I12" i="1"/>
  <c r="I13" i="1"/>
  <c r="I14" i="1"/>
  <c r="I15" i="1"/>
  <c r="I16" i="1"/>
  <c r="I17" i="1"/>
  <c r="I18" i="1"/>
  <c r="I8" i="1"/>
  <c r="H9" i="1"/>
  <c r="H10" i="1"/>
  <c r="H11" i="1"/>
  <c r="H12" i="1"/>
  <c r="H13" i="1"/>
  <c r="H14" i="1"/>
  <c r="H15" i="1"/>
  <c r="H16" i="1"/>
  <c r="H17" i="1"/>
  <c r="H18" i="1"/>
  <c r="H8" i="1"/>
  <c r="E9" i="1"/>
  <c r="E10" i="1"/>
  <c r="E11" i="1"/>
  <c r="E12" i="1"/>
  <c r="E13" i="1"/>
  <c r="E14" i="1"/>
  <c r="E15" i="1"/>
  <c r="E16" i="1"/>
  <c r="E17" i="1"/>
  <c r="E18" i="1"/>
  <c r="E8" i="1"/>
  <c r="F3" i="3"/>
  <c r="F9" i="3" s="1"/>
  <c r="F9" i="1" s="1"/>
  <c r="I1" i="1"/>
  <c r="E15" i="7"/>
  <c r="K19" i="12" l="1"/>
  <c r="K20" i="12" s="1"/>
  <c r="K21" i="12" s="1"/>
  <c r="K22" i="12" s="1"/>
  <c r="F13" i="12"/>
  <c r="F12" i="12"/>
  <c r="F18" i="1"/>
  <c r="K20" i="1"/>
  <c r="K21" i="1" s="1"/>
  <c r="K22" i="1" s="1"/>
  <c r="F13" i="3"/>
  <c r="F12" i="3"/>
  <c r="F11" i="3"/>
  <c r="F10" i="3"/>
  <c r="F11" i="12" s="1"/>
  <c r="F8" i="3"/>
  <c r="F16" i="12" s="1"/>
  <c r="F17" i="12" l="1"/>
  <c r="F18" i="12"/>
  <c r="F8" i="12"/>
  <c r="F10" i="12"/>
  <c r="F9" i="12"/>
  <c r="F15" i="12"/>
  <c r="F14" i="12"/>
  <c r="F14" i="1"/>
  <c r="F10" i="1"/>
  <c r="F8" i="1"/>
  <c r="F16" i="1"/>
  <c r="F11" i="1"/>
  <c r="F17" i="1"/>
  <c r="F15" i="1"/>
  <c r="F13" i="1"/>
  <c r="F1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</author>
    <author>SGA</author>
  </authors>
  <commentList>
    <comment ref="G7" authorId="0" shapeId="0" xr:uid="{00000000-0006-0000-0100-000002000000}">
      <text>
        <r>
          <rPr>
            <sz val="9"/>
            <color indexed="81"/>
            <rFont val="Tahoma"/>
            <family val="2"/>
          </rPr>
          <t>ISAPRE: VALIDE LA ISAPRE DE 1 a 7, mostrando el Mesaje de rigor correspondiente</t>
        </r>
      </text>
    </comment>
    <comment ref="I20" authorId="1" shapeId="0" xr:uid="{00000000-0006-0000-0100-000004000000}">
      <text>
        <r>
          <rPr>
            <sz val="9"/>
            <color indexed="81"/>
            <rFont val="Tahoma"/>
            <family val="2"/>
          </rPr>
          <t>Debe ingresar ud el % de IVA y Mayor a cero, SIN CELDA EN BLANCO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SERGIO</author>
    <author>sergi</author>
  </authors>
  <commentList>
    <comment ref="F3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COLOLAR FECHA ACTUAL
 CON FUNCIÓN
</t>
        </r>
      </text>
    </comment>
    <comment ref="F8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 xml:space="preserve">CALCULAR LA EDAD DE CADA PACIENTE
</t>
        </r>
      </text>
    </comment>
  </commentList>
</comments>
</file>

<file path=xl/sharedStrings.xml><?xml version="1.0" encoding="utf-8"?>
<sst xmlns="http://schemas.openxmlformats.org/spreadsheetml/2006/main" count="176" uniqueCount="69">
  <si>
    <t>DETALLE DE ATENCIONES PACIENTES</t>
  </si>
  <si>
    <t>Cod espec.</t>
  </si>
  <si>
    <t>Cod. Doctor</t>
  </si>
  <si>
    <t>CODCLINIC</t>
  </si>
  <si>
    <t>RUT</t>
  </si>
  <si>
    <t>PACIENTE</t>
  </si>
  <si>
    <t>EDAD</t>
  </si>
  <si>
    <t>ISAPRE</t>
  </si>
  <si>
    <t>CLINICA</t>
  </si>
  <si>
    <t>ESPECIALIDAD</t>
  </si>
  <si>
    <t>G</t>
  </si>
  <si>
    <t>LC</t>
  </si>
  <si>
    <t>P</t>
  </si>
  <si>
    <t>TABLA DOCTORES</t>
  </si>
  <si>
    <t>TABLA ESPECIALIDADES</t>
  </si>
  <si>
    <t>CODIGO</t>
  </si>
  <si>
    <t>NOMBRE</t>
  </si>
  <si>
    <t>VALOR CONSULTA</t>
  </si>
  <si>
    <t>GENERAL</t>
  </si>
  <si>
    <t>PEDIATRIA</t>
  </si>
  <si>
    <t>TABLA PACIENTES</t>
  </si>
  <si>
    <t>TABLA DE CLINICAS</t>
  </si>
  <si>
    <t>Total</t>
  </si>
  <si>
    <t>T</t>
  </si>
  <si>
    <t>REÑACA</t>
  </si>
  <si>
    <t>RN</t>
  </si>
  <si>
    <t>VIÑA DEL MAR</t>
  </si>
  <si>
    <t>VM</t>
  </si>
  <si>
    <t>22222222-2</t>
  </si>
  <si>
    <t>44444444-4</t>
  </si>
  <si>
    <t>55555555-5</t>
  </si>
  <si>
    <t>11111111-1</t>
  </si>
  <si>
    <t>66666666-6</t>
  </si>
  <si>
    <t>33333333-3</t>
  </si>
  <si>
    <t>NOMBRE DOCTOR</t>
  </si>
  <si>
    <t>ESTADO</t>
  </si>
  <si>
    <t>LOS CARRERA</t>
  </si>
  <si>
    <t>TRAUMATOLOGIA</t>
  </si>
  <si>
    <t>CLINICA EL APROBADO</t>
  </si>
  <si>
    <t>PABLO PARADA</t>
  </si>
  <si>
    <t>CRISTIAN BERMUDEZ</t>
  </si>
  <si>
    <t>SUSANA LIMENEZ</t>
  </si>
  <si>
    <t>LUISA CORDERO</t>
  </si>
  <si>
    <t>HUGO GONZALEZ</t>
  </si>
  <si>
    <t>PACO DE LUCIA</t>
  </si>
  <si>
    <t>LUIS GANGAS</t>
  </si>
  <si>
    <t>CLAUDIA LIZANA</t>
  </si>
  <si>
    <t xml:space="preserve">IVA </t>
  </si>
  <si>
    <t xml:space="preserve">VALOR IVA   </t>
  </si>
  <si>
    <t>TOTAL  A PAGAR</t>
  </si>
  <si>
    <t>FECHA DE NACIMIENTO</t>
  </si>
  <si>
    <t>FECHA DE HOY</t>
  </si>
  <si>
    <t>Fecha</t>
  </si>
  <si>
    <t>Profesor</t>
  </si>
  <si>
    <t xml:space="preserve"> Sergio González Astorga</t>
  </si>
  <si>
    <t>¡Suerte!</t>
  </si>
  <si>
    <t>VILMA PICAPIEDRA</t>
  </si>
  <si>
    <t>VICTORIA PARRA</t>
  </si>
  <si>
    <t>Integral I de Excel SW de Productividad</t>
  </si>
  <si>
    <t>Nombre Estudiante 1 :</t>
  </si>
  <si>
    <t>Nombre Estudiante 2 :</t>
  </si>
  <si>
    <t>Adolfo Rojas V.</t>
  </si>
  <si>
    <t>Total general</t>
  </si>
  <si>
    <t>Suma de VALOR CONSULTA</t>
  </si>
  <si>
    <t>Total CRISTIAN BERMUDEZ</t>
  </si>
  <si>
    <t>Total LUISA CORDERO</t>
  </si>
  <si>
    <t>Total PABLO PARADA</t>
  </si>
  <si>
    <t>Total SUSANA LIMENEZ</t>
  </si>
  <si>
    <t>(Varios elementos)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</si>
</sst>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$&quot;* #,##0_ ;_ &quot;$&quot;* \-#,##0_ ;_ &quot;$&quot;* &quot;-&quot;_ ;_ @_ "/>
    <numFmt numFmtId="164" formatCode="0.0"/>
    <numFmt numFmtId="168" formatCode="_ [$€-2]\ * #,##0_ ;_ [$€-2]\ * \-#,##0_ ;_ [$€-2]\ * &quot;-&quot;_ ;_ @_ "/>
    <numFmt numFmtId="169" formatCode="yy"/>
  </numFmts>
  <fonts count="1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name val="Britannic Bold"/>
      <family val="2"/>
    </font>
    <font>
      <b/>
      <sz val="11"/>
      <name val="Arial"/>
      <family val="2"/>
    </font>
    <font>
      <b/>
      <sz val="16"/>
      <name val="Arial"/>
      <family val="2"/>
    </font>
    <font>
      <b/>
      <sz val="14"/>
      <color theme="1"/>
      <name val="Calibri"/>
      <family val="2"/>
      <scheme val="minor"/>
    </font>
    <font>
      <b/>
      <i/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indexed="18"/>
      <name val="Calibri"/>
      <family val="2"/>
      <scheme val="minor"/>
    </font>
    <font>
      <b/>
      <sz val="14"/>
      <color indexed="1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79995117038483843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double">
        <color indexed="64"/>
      </bottom>
      <diagonal/>
    </border>
    <border>
      <left style="double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indexed="64"/>
      </right>
      <top style="double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42" fontId="6" fillId="0" borderId="0" applyFont="0" applyFill="0" applyBorder="0" applyAlignment="0" applyProtection="0"/>
  </cellStyleXfs>
  <cellXfs count="66">
    <xf numFmtId="0" fontId="0" fillId="0" borderId="0" xfId="0"/>
    <xf numFmtId="0" fontId="0" fillId="0" borderId="1" xfId="0" applyBorder="1"/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Border="1"/>
    <xf numFmtId="14" fontId="0" fillId="0" borderId="0" xfId="0" applyNumberFormat="1" applyFill="1" applyBorder="1"/>
    <xf numFmtId="164" fontId="0" fillId="0" borderId="0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3" borderId="0" xfId="0" applyFill="1"/>
    <xf numFmtId="0" fontId="9" fillId="3" borderId="0" xfId="0" applyFont="1" applyFill="1"/>
    <xf numFmtId="14" fontId="9" fillId="3" borderId="0" xfId="0" applyNumberFormat="1" applyFont="1" applyFill="1"/>
    <xf numFmtId="0" fontId="12" fillId="3" borderId="0" xfId="0" applyFont="1" applyFill="1"/>
    <xf numFmtId="9" fontId="10" fillId="3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left" vertical="center"/>
    </xf>
    <xf numFmtId="0" fontId="0" fillId="3" borderId="0" xfId="0" applyFill="1" applyAlignment="1">
      <alignment horizontal="center"/>
    </xf>
    <xf numFmtId="0" fontId="9" fillId="3" borderId="0" xfId="0" applyFont="1" applyFill="1" applyAlignment="1">
      <alignment horizontal="left"/>
    </xf>
    <xf numFmtId="0" fontId="9" fillId="3" borderId="6" xfId="0" applyFont="1" applyFill="1" applyBorder="1" applyAlignment="1">
      <alignment horizontal="left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5" borderId="1" xfId="0" applyFill="1" applyBorder="1"/>
    <xf numFmtId="0" fontId="2" fillId="6" borderId="12" xfId="0" applyFont="1" applyFill="1" applyBorder="1"/>
    <xf numFmtId="0" fontId="1" fillId="6" borderId="14" xfId="0" applyFont="1" applyFill="1" applyBorder="1"/>
    <xf numFmtId="0" fontId="0" fillId="6" borderId="14" xfId="0" applyFill="1" applyBorder="1"/>
    <xf numFmtId="0" fontId="0" fillId="6" borderId="16" xfId="0" applyFill="1" applyBorder="1"/>
    <xf numFmtId="9" fontId="6" fillId="6" borderId="1" xfId="1" applyFont="1" applyFill="1" applyBorder="1" applyAlignment="1">
      <alignment horizontal="center"/>
    </xf>
    <xf numFmtId="0" fontId="0" fillId="5" borderId="19" xfId="0" applyNumberFormat="1" applyFill="1" applyBorder="1" applyAlignment="1">
      <alignment horizontal="right"/>
    </xf>
    <xf numFmtId="0" fontId="0" fillId="5" borderId="19" xfId="0" applyFill="1" applyBorder="1" applyAlignment="1">
      <alignment horizontal="right"/>
    </xf>
    <xf numFmtId="0" fontId="0" fillId="5" borderId="21" xfId="0" applyNumberFormat="1" applyFill="1" applyBorder="1" applyAlignment="1">
      <alignment horizontal="right"/>
    </xf>
    <xf numFmtId="0" fontId="0" fillId="5" borderId="21" xfId="0" applyFill="1" applyBorder="1" applyAlignment="1">
      <alignment horizontal="right"/>
    </xf>
    <xf numFmtId="0" fontId="0" fillId="5" borderId="23" xfId="0" applyNumberFormat="1" applyFill="1" applyBorder="1" applyAlignment="1">
      <alignment horizontal="right"/>
    </xf>
    <xf numFmtId="0" fontId="0" fillId="5" borderId="23" xfId="0" applyFill="1" applyBorder="1" applyAlignment="1">
      <alignment horizontal="right"/>
    </xf>
    <xf numFmtId="14" fontId="0" fillId="4" borderId="1" xfId="0" applyNumberFormat="1" applyFill="1" applyBorder="1"/>
    <xf numFmtId="0" fontId="7" fillId="0" borderId="0" xfId="0" applyFont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14" fontId="0" fillId="5" borderId="0" xfId="0" applyNumberFormat="1" applyFill="1"/>
    <xf numFmtId="14" fontId="0" fillId="5" borderId="1" xfId="0" applyNumberFormat="1" applyFill="1" applyBorder="1"/>
    <xf numFmtId="169" fontId="0" fillId="5" borderId="1" xfId="0" applyNumberFormat="1" applyFill="1" applyBorder="1" applyAlignment="1">
      <alignment horizontal="center"/>
    </xf>
    <xf numFmtId="0" fontId="0" fillId="5" borderId="1" xfId="0" quotePrefix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0" fillId="5" borderId="19" xfId="0" applyFill="1" applyBorder="1" applyAlignment="1">
      <alignment horizontal="left"/>
    </xf>
    <xf numFmtId="0" fontId="0" fillId="5" borderId="21" xfId="0" applyFill="1" applyBorder="1" applyAlignment="1">
      <alignment horizontal="left"/>
    </xf>
    <xf numFmtId="0" fontId="0" fillId="5" borderId="23" xfId="0" applyFill="1" applyBorder="1" applyAlignment="1">
      <alignment horizontal="left"/>
    </xf>
    <xf numFmtId="0" fontId="0" fillId="5" borderId="18" xfId="0" applyFill="1" applyBorder="1" applyAlignment="1">
      <alignment horizontal="left"/>
    </xf>
    <xf numFmtId="0" fontId="0" fillId="5" borderId="20" xfId="0" applyFill="1" applyBorder="1" applyAlignment="1">
      <alignment horizontal="left"/>
    </xf>
    <xf numFmtId="0" fontId="0" fillId="5" borderId="22" xfId="0" applyFill="1" applyBorder="1" applyAlignment="1">
      <alignment horizontal="left"/>
    </xf>
    <xf numFmtId="169" fontId="0" fillId="5" borderId="19" xfId="0" applyNumberFormat="1" applyFill="1" applyBorder="1" applyAlignment="1">
      <alignment horizontal="right"/>
    </xf>
    <xf numFmtId="0" fontId="3" fillId="0" borderId="2" xfId="0" applyFont="1" applyBorder="1" applyAlignment="1">
      <alignment horizontal="center"/>
    </xf>
    <xf numFmtId="0" fontId="0" fillId="0" borderId="0" xfId="0" pivotButton="1"/>
    <xf numFmtId="0" fontId="0" fillId="0" borderId="0" xfId="0" applyNumberFormat="1"/>
    <xf numFmtId="0" fontId="14" fillId="6" borderId="17" xfId="0" applyFont="1" applyFill="1" applyBorder="1"/>
    <xf numFmtId="168" fontId="13" fillId="6" borderId="1" xfId="2" applyNumberFormat="1" applyFont="1" applyFill="1" applyBorder="1"/>
    <xf numFmtId="168" fontId="1" fillId="6" borderId="13" xfId="0" applyNumberFormat="1" applyFont="1" applyFill="1" applyBorder="1"/>
    <xf numFmtId="0" fontId="1" fillId="6" borderId="15" xfId="0" applyNumberFormat="1" applyFont="1" applyFill="1" applyBorder="1"/>
    <xf numFmtId="168" fontId="13" fillId="8" borderId="19" xfId="0" applyNumberFormat="1" applyFont="1" applyFill="1" applyBorder="1" applyAlignment="1">
      <alignment horizontal="right"/>
    </xf>
    <xf numFmtId="0" fontId="14" fillId="7" borderId="11" xfId="0" applyNumberFormat="1" applyFont="1" applyFill="1" applyBorder="1" applyAlignment="1">
      <alignment horizontal="center"/>
    </xf>
  </cellXfs>
  <cellStyles count="3">
    <cellStyle name="Moneda [0]" xfId="2" builtinId="7"/>
    <cellStyle name="Normal" xfId="0" builtinId="0"/>
    <cellStyle name="Porcentaj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ORDEN!$K$7</c:f>
              <c:strCache>
                <c:ptCount val="1"/>
                <c:pt idx="0">
                  <c:v>VALOR CONSULTA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(ORDEN!$D$8:$D$18,ORDEN!$F$8:$F$18)</c:f>
              <c:strCache>
                <c:ptCount val="22"/>
                <c:pt idx="0">
                  <c:v>66666666-6</c:v>
                </c:pt>
                <c:pt idx="1">
                  <c:v>66666666-6</c:v>
                </c:pt>
                <c:pt idx="2">
                  <c:v>66666666-6</c:v>
                </c:pt>
                <c:pt idx="3">
                  <c:v>55555555-5</c:v>
                </c:pt>
                <c:pt idx="4">
                  <c:v>44444444-4</c:v>
                </c:pt>
                <c:pt idx="5">
                  <c:v>44444444-4</c:v>
                </c:pt>
                <c:pt idx="6">
                  <c:v>33333333-3</c:v>
                </c:pt>
                <c:pt idx="7">
                  <c:v>33333333-3</c:v>
                </c:pt>
                <c:pt idx="8">
                  <c:v>22222222-2</c:v>
                </c:pt>
                <c:pt idx="9">
                  <c:v>11111111-1</c:v>
                </c:pt>
                <c:pt idx="10">
                  <c:v>11111111-1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26</c:v>
                </c:pt>
                <c:pt idx="15">
                  <c:v>36</c:v>
                </c:pt>
                <c:pt idx="16">
                  <c:v>36</c:v>
                </c:pt>
                <c:pt idx="17">
                  <c:v>23</c:v>
                </c:pt>
                <c:pt idx="18">
                  <c:v>23</c:v>
                </c:pt>
                <c:pt idx="19">
                  <c:v>69</c:v>
                </c:pt>
                <c:pt idx="20">
                  <c:v>30</c:v>
                </c:pt>
                <c:pt idx="21">
                  <c:v>30</c:v>
                </c:pt>
              </c:strCache>
            </c:strRef>
          </c:cat>
          <c:val>
            <c:numRef>
              <c:f>ORDEN!$K$8:$K$18</c:f>
              <c:numCache>
                <c:formatCode>_ [$€-2]\ * #,##0_ ;_ [$€-2]\ * \-#,##0_ ;_ [$€-2]\ * "-"_ ;_ @_ </c:formatCode>
                <c:ptCount val="11"/>
                <c:pt idx="0">
                  <c:v>28000</c:v>
                </c:pt>
                <c:pt idx="1">
                  <c:v>35000</c:v>
                </c:pt>
                <c:pt idx="2">
                  <c:v>22000</c:v>
                </c:pt>
                <c:pt idx="3">
                  <c:v>28000</c:v>
                </c:pt>
                <c:pt idx="4">
                  <c:v>28000</c:v>
                </c:pt>
                <c:pt idx="5">
                  <c:v>28000</c:v>
                </c:pt>
                <c:pt idx="6">
                  <c:v>22000</c:v>
                </c:pt>
                <c:pt idx="7">
                  <c:v>22000</c:v>
                </c:pt>
                <c:pt idx="8">
                  <c:v>35000</c:v>
                </c:pt>
                <c:pt idx="9">
                  <c:v>22000</c:v>
                </c:pt>
                <c:pt idx="10">
                  <c:v>22000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BD-447A-8355-AD6142F29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6339103"/>
        <c:axId val="66331903"/>
        <c:axId val="0"/>
      </c:bar3DChart>
      <c:catAx>
        <c:axId val="663391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RUT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6331903"/>
        <c:crosses val="autoZero"/>
        <c:auto val="1"/>
        <c:lblAlgn val="ctr"/>
        <c:lblOffset val="100"/>
        <c:noMultiLvlLbl val="0"/>
      </c:catAx>
      <c:valAx>
        <c:axId val="66331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L"/>
                  <a:t>Valor</a:t>
                </a:r>
                <a:r>
                  <a:rPr lang="es-CL" baseline="0"/>
                  <a:t> consulta</a:t>
                </a:r>
                <a:endParaRPr lang="es-C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_ [$€-2]\ * #,##0_ ;_ [$€-2]\ * \-#,##0_ ;_ [$€-2]\ * &quot;-&quot;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6339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2E6DDA0-5274-4EF2-B4F7-8875744B02BE}">
  <sheetPr/>
  <sheetViews>
    <sheetView tabSelected="1"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13</xdr:row>
          <xdr:rowOff>19050</xdr:rowOff>
        </xdr:from>
        <xdr:to>
          <xdr:col>13</xdr:col>
          <xdr:colOff>9525</xdr:colOff>
          <xdr:row>14</xdr:row>
          <xdr:rowOff>28575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CL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752476</xdr:colOff>
          <xdr:row>15</xdr:row>
          <xdr:rowOff>0</xdr:rowOff>
        </xdr:from>
        <xdr:to>
          <xdr:col>13</xdr:col>
          <xdr:colOff>1</xdr:colOff>
          <xdr:row>16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CL" sz="14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8</xdr:row>
      <xdr:rowOff>0</xdr:rowOff>
    </xdr:from>
    <xdr:to>
      <xdr:col>15</xdr:col>
      <xdr:colOff>739159</xdr:colOff>
      <xdr:row>11</xdr:row>
      <xdr:rowOff>76385</xdr:rowOff>
    </xdr:to>
    <xdr:sp macro="" textlink="">
      <xdr:nvSpPr>
        <xdr:cNvPr id="6" name="1 Elipse">
          <a:extLst>
            <a:ext uri="{FF2B5EF4-FFF2-40B4-BE49-F238E27FC236}">
              <a16:creationId xmlns:a16="http://schemas.microsoft.com/office/drawing/2014/main" id="{A59B9DCA-B563-4D9C-94BD-B20406BEBF2F}"/>
            </a:ext>
          </a:extLst>
        </xdr:cNvPr>
        <xdr:cNvSpPr/>
      </xdr:nvSpPr>
      <xdr:spPr>
        <a:xfrm>
          <a:off x="11027731" y="1479612"/>
          <a:ext cx="2745882" cy="645111"/>
        </a:xfrm>
        <a:prstGeom prst="ellipse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>
            <a:lnSpc>
              <a:spcPts val="1100"/>
            </a:lnSpc>
          </a:pPr>
          <a:r>
            <a:rPr lang="es-CL" sz="1100"/>
            <a:t>Macro1: Coloca</a:t>
          </a:r>
          <a:r>
            <a:rPr lang="es-CL" sz="1100" baseline="0"/>
            <a:t> Formato de Contabilidad (Libra) a Valor de consulta en color AZUL </a:t>
          </a:r>
          <a:r>
            <a:rPr lang="es-C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(Texto Botón)</a:t>
          </a:r>
          <a:endParaRPr lang="es-CL" sz="1100"/>
        </a:p>
      </xdr:txBody>
    </xdr:sp>
    <xdr:clientData/>
  </xdr:twoCellAnchor>
  <xdr:twoCellAnchor>
    <xdr:from>
      <xdr:col>13</xdr:col>
      <xdr:colOff>0</xdr:colOff>
      <xdr:row>17</xdr:row>
      <xdr:rowOff>0</xdr:rowOff>
    </xdr:from>
    <xdr:to>
      <xdr:col>15</xdr:col>
      <xdr:colOff>100151</xdr:colOff>
      <xdr:row>21</xdr:row>
      <xdr:rowOff>51325</xdr:rowOff>
    </xdr:to>
    <xdr:sp macro="" textlink="">
      <xdr:nvSpPr>
        <xdr:cNvPr id="9" name="2 Elipse">
          <a:extLst>
            <a:ext uri="{FF2B5EF4-FFF2-40B4-BE49-F238E27FC236}">
              <a16:creationId xmlns:a16="http://schemas.microsoft.com/office/drawing/2014/main" id="{4FAFE55B-FC93-4382-BD8B-A97C68543DCA}"/>
            </a:ext>
          </a:extLst>
        </xdr:cNvPr>
        <xdr:cNvSpPr/>
      </xdr:nvSpPr>
      <xdr:spPr>
        <a:xfrm>
          <a:off x="11027731" y="3185789"/>
          <a:ext cx="2106874" cy="805002"/>
        </a:xfrm>
        <a:prstGeom prst="ellipse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rtlCol="0" anchor="ctr"/>
        <a:lstStyle/>
        <a:p>
          <a:pPr algn="ctr">
            <a:lnSpc>
              <a:spcPts val="900"/>
            </a:lnSpc>
          </a:pPr>
          <a:r>
            <a:rPr lang="es-CL" sz="1100"/>
            <a:t>Macro2: Pone</a:t>
          </a:r>
          <a:r>
            <a:rPr lang="es-CL" sz="1100" baseline="0"/>
            <a:t> Formato Normal  el Valor de Consula y de color ROJO (Texto Botón)</a:t>
          </a:r>
          <a:endParaRPr lang="es-C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13</xdr:row>
          <xdr:rowOff>19050</xdr:rowOff>
        </xdr:from>
        <xdr:to>
          <xdr:col>13</xdr:col>
          <xdr:colOff>9525</xdr:colOff>
          <xdr:row>14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BA25A8DB-C2CE-4DCC-AF5C-4166EB5BEA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CL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752476</xdr:colOff>
          <xdr:row>15</xdr:row>
          <xdr:rowOff>0</xdr:rowOff>
        </xdr:from>
        <xdr:to>
          <xdr:col>13</xdr:col>
          <xdr:colOff>1</xdr:colOff>
          <xdr:row>16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282542FB-0CA7-432C-9ADF-4FCBC5FC42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CL" sz="14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120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F8056FC-71B8-AD7C-251C-0A7B58ABEB3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olf" refreshedDate="45804.907383564816" createdVersion="8" refreshedVersion="8" minRefreshableVersion="3" recordCount="11" xr:uid="{DBD18ED7-5624-4D1C-98E6-EB4427B7ED08}">
  <cacheSource type="worksheet">
    <worksheetSource ref="A7:K18" sheet="PLANILLA"/>
  </cacheSource>
  <cacheFields count="11">
    <cacheField name="Cod espec." numFmtId="0">
      <sharedItems/>
    </cacheField>
    <cacheField name="Cod. Doctor" numFmtId="0">
      <sharedItems containsSemiMixedTypes="0" containsString="0" containsNumber="1" containsInteger="1" minValue="100" maxValue="400" count="4">
        <n v="200"/>
        <n v="300"/>
        <n v="400"/>
        <n v="100"/>
      </sharedItems>
    </cacheField>
    <cacheField name="CODCLINIC" numFmtId="0">
      <sharedItems/>
    </cacheField>
    <cacheField name="RUT" numFmtId="0">
      <sharedItems/>
    </cacheField>
    <cacheField name="PACIENTE" numFmtId="0">
      <sharedItems/>
    </cacheField>
    <cacheField name="EDAD" numFmtId="169">
      <sharedItems containsSemiMixedTypes="0" containsNonDate="0" containsDate="1" containsString="0" minDate="1923-08-21T00:00:00" maxDate="1969-12-13T00:00:00"/>
    </cacheField>
    <cacheField name="ISAPRE" numFmtId="0">
      <sharedItems containsSemiMixedTypes="0" containsString="0" containsNumber="1" containsInteger="1" minValue="1" maxValue="7" count="7">
        <n v="1"/>
        <n v="2"/>
        <n v="3"/>
        <n v="7"/>
        <n v="4"/>
        <n v="5"/>
        <n v="6"/>
      </sharedItems>
    </cacheField>
    <cacheField name="NOMBRE DOCTOR" numFmtId="0">
      <sharedItems count="4">
        <s v="CRISTIAN BERMUDEZ"/>
        <s v="SUSANA LIMENEZ"/>
        <s v="LUISA CORDERO"/>
        <s v="PABLO PARADA"/>
      </sharedItems>
    </cacheField>
    <cacheField name="CLINICA" numFmtId="0">
      <sharedItems/>
    </cacheField>
    <cacheField name="ESPECIALIDAD" numFmtId="0">
      <sharedItems count="3">
        <s v="GENERAL"/>
        <s v="PEDIATRIA"/>
        <s v="TRAUMATOLOGIA"/>
      </sharedItems>
    </cacheField>
    <cacheField name="VALOR CONSULTA" numFmtId="168">
      <sharedItems containsSemiMixedTypes="0" containsString="0" containsNumber="1" containsInteger="1" minValue="22000" maxValue="3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s v="G"/>
    <x v="0"/>
    <s v="RN"/>
    <s v="11111111-1"/>
    <s v="CLAUDIA LIZANA"/>
    <d v="1930-04-11T00:00:00"/>
    <x v="0"/>
    <x v="0"/>
    <s v="REÑACA"/>
    <x v="0"/>
    <n v="22000"/>
  </r>
  <r>
    <s v="P"/>
    <x v="1"/>
    <s v="VM"/>
    <s v="44444444-4"/>
    <s v="PACO DE LUCIA"/>
    <d v="1936-05-01T00:00:00"/>
    <x v="0"/>
    <x v="1"/>
    <s v="VIÑA DEL MAR"/>
    <x v="1"/>
    <n v="28000"/>
  </r>
  <r>
    <s v="P"/>
    <x v="1"/>
    <s v="LC"/>
    <s v="55555555-5"/>
    <s v="LUIS GANGAS"/>
    <d v="1926-10-20T00:00:00"/>
    <x v="1"/>
    <x v="1"/>
    <s v="LOS CARRERA"/>
    <x v="1"/>
    <n v="28000"/>
  </r>
  <r>
    <s v="P"/>
    <x v="2"/>
    <s v="RN"/>
    <s v="66666666-6"/>
    <s v="VILMA PICAPIEDRA"/>
    <d v="1926-04-12T00:00:00"/>
    <x v="2"/>
    <x v="2"/>
    <s v="REÑACA"/>
    <x v="1"/>
    <n v="28000"/>
  </r>
  <r>
    <s v="G"/>
    <x v="3"/>
    <s v="VM"/>
    <s v="33333333-3"/>
    <s v="VICTORIA PARRA"/>
    <d v="1923-08-21T00:00:00"/>
    <x v="3"/>
    <x v="3"/>
    <s v="VIÑA DEL MAR"/>
    <x v="0"/>
    <n v="22000"/>
  </r>
  <r>
    <s v="G"/>
    <x v="3"/>
    <s v="LC"/>
    <s v="33333333-3"/>
    <s v="VICTORIA PARRA"/>
    <d v="1923-08-21T00:00:00"/>
    <x v="4"/>
    <x v="3"/>
    <s v="LOS CARRERA"/>
    <x v="0"/>
    <n v="22000"/>
  </r>
  <r>
    <s v="T"/>
    <x v="2"/>
    <s v="RN"/>
    <s v="22222222-2"/>
    <s v="HUGO GONZALEZ"/>
    <d v="1969-12-12T00:00:00"/>
    <x v="4"/>
    <x v="2"/>
    <s v="REÑACA"/>
    <x v="2"/>
    <n v="35000"/>
  </r>
  <r>
    <s v="T"/>
    <x v="2"/>
    <s v="VM"/>
    <s v="66666666-6"/>
    <s v="VILMA PICAPIEDRA"/>
    <d v="1926-04-12T00:00:00"/>
    <x v="5"/>
    <x v="2"/>
    <s v="VIÑA DEL MAR"/>
    <x v="2"/>
    <n v="35000"/>
  </r>
  <r>
    <s v="G"/>
    <x v="0"/>
    <s v="LC"/>
    <s v="11111111-1"/>
    <s v="CLAUDIA LIZANA"/>
    <d v="1930-04-11T00:00:00"/>
    <x v="6"/>
    <x v="0"/>
    <s v="LOS CARRERA"/>
    <x v="0"/>
    <n v="22000"/>
  </r>
  <r>
    <s v="G"/>
    <x v="0"/>
    <s v="RN"/>
    <s v="66666666-6"/>
    <s v="VILMA PICAPIEDRA"/>
    <d v="1926-04-12T00:00:00"/>
    <x v="0"/>
    <x v="0"/>
    <s v="REÑACA"/>
    <x v="0"/>
    <n v="22000"/>
  </r>
  <r>
    <s v="P"/>
    <x v="1"/>
    <s v="LC"/>
    <s v="44444444-4"/>
    <s v="PACO DE LUCIA"/>
    <d v="1936-05-01T00:00:00"/>
    <x v="1"/>
    <x v="1"/>
    <s v="LOS CARRERA"/>
    <x v="1"/>
    <n v="28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89AD4D-612B-4826-AF3D-D39B81E15752}" name="TablaDinámica14" cacheId="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outline="1" outlineData="1" compactData="0" multipleFieldFilters="0">
  <location ref="A3:J10" firstHeaderRow="1" firstDataRow="3" firstDataCol="1" rowPageCount="1" colPageCount="1"/>
  <pivotFields count="11">
    <pivotField compact="0" showAll="0"/>
    <pivotField axis="axisRow" compact="0" showAll="0">
      <items count="5">
        <item x="3"/>
        <item x="0"/>
        <item x="1"/>
        <item x="2"/>
        <item t="default"/>
      </items>
    </pivotField>
    <pivotField compact="0" showAll="0"/>
    <pivotField compact="0" showAll="0"/>
    <pivotField compact="0" showAll="0"/>
    <pivotField compact="0" numFmtId="169" showAll="0"/>
    <pivotField axis="axisPage" compact="0" multipleItemSelectionAllowed="1" showAll="0">
      <items count="8">
        <item x="0"/>
        <item h="1" x="1"/>
        <item h="1" x="2"/>
        <item x="4"/>
        <item h="1" x="5"/>
        <item x="6"/>
        <item h="1" x="3"/>
        <item t="default"/>
      </items>
    </pivotField>
    <pivotField axis="axisCol" compact="0" showAll="0">
      <items count="5">
        <item x="0"/>
        <item x="2"/>
        <item x="3"/>
        <item x="1"/>
        <item t="default"/>
      </items>
    </pivotField>
    <pivotField compact="0" showAll="0"/>
    <pivotField axis="axisCol" compact="0" showAll="0">
      <items count="4">
        <item x="0"/>
        <item x="1"/>
        <item x="2"/>
        <item t="default"/>
      </items>
    </pivotField>
    <pivotField dataField="1" compact="0" numFmtId="168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2">
    <field x="7"/>
    <field x="9"/>
  </colFields>
  <colItems count="9">
    <i>
      <x/>
      <x/>
    </i>
    <i t="default">
      <x/>
    </i>
    <i>
      <x v="1"/>
      <x v="2"/>
    </i>
    <i t="default">
      <x v="1"/>
    </i>
    <i>
      <x v="2"/>
      <x/>
    </i>
    <i t="default">
      <x v="2"/>
    </i>
    <i>
      <x v="3"/>
      <x v="1"/>
    </i>
    <i t="default">
      <x v="3"/>
    </i>
    <i t="grand">
      <x/>
    </i>
  </colItems>
  <pageFields count="1">
    <pageField fld="6" hier="-1"/>
  </pageFields>
  <dataFields count="1">
    <dataField name="Suma de VALOR CONSULTA" fld="10" baseField="0" baseItem="0"/>
  </dataField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23"/>
  <sheetViews>
    <sheetView showGridLines="0" showRowColHeaders="0" zoomScale="114" zoomScaleNormal="130" workbookViewId="0">
      <selection activeCell="B5" sqref="B5"/>
    </sheetView>
  </sheetViews>
  <sheetFormatPr baseColWidth="10" defaultColWidth="0" defaultRowHeight="14.25" zeroHeight="1" x14ac:dyDescent="0.45"/>
  <cols>
    <col min="1" max="4" width="11.3984375" customWidth="1"/>
    <col min="5" max="5" width="14.86328125" customWidth="1"/>
    <col min="6" max="15" width="11.3984375" customWidth="1"/>
    <col min="16" max="16384" width="11.3984375" hidden="1"/>
  </cols>
  <sheetData>
    <row r="1" spans="1:15" x14ac:dyDescent="0.4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x14ac:dyDescent="0.4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</row>
    <row r="3" spans="1:15" x14ac:dyDescent="0.4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</row>
    <row r="4" spans="1:15" x14ac:dyDescent="0.4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</row>
    <row r="5" spans="1:15" x14ac:dyDescent="0.4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</row>
    <row r="6" spans="1:15" x14ac:dyDescent="0.45">
      <c r="A6" s="8"/>
      <c r="B6" s="8"/>
      <c r="C6" s="15" t="s">
        <v>58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8"/>
    </row>
    <row r="7" spans="1:15" x14ac:dyDescent="0.45">
      <c r="A7" s="8"/>
      <c r="B7" s="8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8"/>
    </row>
    <row r="8" spans="1:15" x14ac:dyDescent="0.4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</row>
    <row r="9" spans="1:15" ht="14.65" thickBot="1" x14ac:dyDescent="0.5">
      <c r="A9" s="8"/>
      <c r="B9" s="8"/>
      <c r="C9" s="8"/>
      <c r="D9" s="16"/>
      <c r="E9" s="16"/>
      <c r="F9" s="17"/>
      <c r="G9" s="17"/>
      <c r="H9" s="17"/>
      <c r="I9" s="17"/>
      <c r="J9" s="17"/>
      <c r="K9" s="8"/>
      <c r="L9" s="8"/>
      <c r="M9" s="8"/>
      <c r="N9" s="8"/>
      <c r="O9" s="8"/>
    </row>
    <row r="10" spans="1:15" ht="14.65" thickBot="1" x14ac:dyDescent="0.5">
      <c r="A10" s="8"/>
      <c r="B10" s="8"/>
      <c r="C10" s="8"/>
      <c r="D10" s="18" t="s">
        <v>59</v>
      </c>
      <c r="E10" s="19"/>
      <c r="F10" s="20" t="s">
        <v>61</v>
      </c>
      <c r="G10" s="21"/>
      <c r="H10" s="21"/>
      <c r="I10" s="21"/>
      <c r="J10" s="22"/>
      <c r="K10" s="8"/>
      <c r="L10" s="8"/>
      <c r="M10" s="8"/>
      <c r="N10" s="8"/>
      <c r="O10" s="8"/>
    </row>
    <row r="11" spans="1:15" ht="14.65" thickBot="1" x14ac:dyDescent="0.5">
      <c r="A11" s="8"/>
      <c r="B11" s="8"/>
      <c r="C11" s="8"/>
      <c r="D11" s="18" t="s">
        <v>60</v>
      </c>
      <c r="E11" s="19"/>
      <c r="F11" s="20"/>
      <c r="G11" s="21"/>
      <c r="H11" s="21"/>
      <c r="I11" s="21"/>
      <c r="J11" s="22"/>
      <c r="K11" s="8"/>
      <c r="L11" s="8"/>
      <c r="M11" s="8"/>
      <c r="N11" s="8"/>
      <c r="O11" s="8"/>
    </row>
    <row r="12" spans="1:15" ht="20.65" x14ac:dyDescent="0.6">
      <c r="A12" s="8"/>
      <c r="B12" s="8"/>
      <c r="C12" s="8"/>
      <c r="D12" s="9"/>
      <c r="E12" s="8"/>
      <c r="F12" s="12"/>
      <c r="G12" s="13"/>
      <c r="H12" s="13"/>
      <c r="I12" s="13"/>
      <c r="J12" s="13"/>
      <c r="K12" s="8"/>
      <c r="L12" s="8"/>
      <c r="M12" s="8"/>
      <c r="N12" s="8"/>
      <c r="O12" s="8"/>
    </row>
    <row r="13" spans="1:15" x14ac:dyDescent="0.45">
      <c r="A13" s="8"/>
      <c r="B13" s="8"/>
      <c r="C13" s="8"/>
      <c r="D13" s="9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</row>
    <row r="14" spans="1:15" x14ac:dyDescent="0.4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</row>
    <row r="15" spans="1:15" x14ac:dyDescent="0.45">
      <c r="A15" s="8"/>
      <c r="B15" s="8"/>
      <c r="C15" s="8"/>
      <c r="D15" s="9" t="s">
        <v>52</v>
      </c>
      <c r="E15" s="10">
        <f ca="1">TODAY()</f>
        <v>45804</v>
      </c>
      <c r="F15" s="8"/>
      <c r="G15" s="8"/>
      <c r="H15" s="8"/>
      <c r="I15" s="8"/>
      <c r="J15" s="8"/>
      <c r="K15" s="8"/>
      <c r="L15" s="8"/>
      <c r="M15" s="8"/>
      <c r="N15" s="8"/>
      <c r="O15" s="8"/>
    </row>
    <row r="16" spans="1:15" x14ac:dyDescent="0.4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</row>
    <row r="17" spans="1:15" ht="18" x14ac:dyDescent="0.55000000000000004">
      <c r="A17" s="8"/>
      <c r="B17" s="8"/>
      <c r="C17" s="8"/>
      <c r="D17" s="9" t="s">
        <v>53</v>
      </c>
      <c r="E17" s="14" t="s">
        <v>54</v>
      </c>
      <c r="F17" s="14"/>
      <c r="G17" s="14"/>
      <c r="H17" s="14"/>
      <c r="I17" s="14"/>
      <c r="J17" s="8"/>
      <c r="K17" s="8"/>
      <c r="L17" s="8"/>
      <c r="M17" s="8"/>
      <c r="N17" s="8"/>
      <c r="O17" s="8"/>
    </row>
    <row r="18" spans="1:15" x14ac:dyDescent="0.4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11" t="s">
        <v>55</v>
      </c>
      <c r="O18" s="8"/>
    </row>
    <row r="19" spans="1:15" x14ac:dyDescent="0.4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</row>
    <row r="20" spans="1:15" x14ac:dyDescent="0.4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</row>
    <row r="21" spans="1:15" x14ac:dyDescent="0.4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</row>
    <row r="22" spans="1:15" x14ac:dyDescent="0.4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</row>
    <row r="23" spans="1:15" x14ac:dyDescent="0.4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</row>
  </sheetData>
  <mergeCells count="9">
    <mergeCell ref="F12:J12"/>
    <mergeCell ref="E17:I17"/>
    <mergeCell ref="C6:N7"/>
    <mergeCell ref="D9:E9"/>
    <mergeCell ref="F9:J9"/>
    <mergeCell ref="D10:E10"/>
    <mergeCell ref="F10:J10"/>
    <mergeCell ref="F11:J11"/>
    <mergeCell ref="D11:E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33"/>
  <sheetViews>
    <sheetView zoomScale="103" workbookViewId="0">
      <selection activeCell="D23" sqref="D23"/>
    </sheetView>
  </sheetViews>
  <sheetFormatPr baseColWidth="10" defaultRowHeight="14.25" x14ac:dyDescent="0.45"/>
  <cols>
    <col min="1" max="1" width="9.53125" bestFit="1" customWidth="1"/>
    <col min="2" max="2" width="10.33203125" bestFit="1" customWidth="1"/>
    <col min="3" max="3" width="9.53125" bestFit="1" customWidth="1"/>
    <col min="4" max="4" width="10.33203125" bestFit="1" customWidth="1"/>
    <col min="5" max="5" width="16.86328125" customWidth="1"/>
    <col min="6" max="6" width="5.33203125" bestFit="1" customWidth="1"/>
    <col min="7" max="7" width="6.3984375" bestFit="1" customWidth="1"/>
    <col min="8" max="8" width="17.53125" bestFit="1" customWidth="1"/>
    <col min="9" max="9" width="12.3984375" bestFit="1" customWidth="1"/>
    <col min="10" max="10" width="15.06640625" bestFit="1" customWidth="1"/>
    <col min="11" max="11" width="19.59765625" bestFit="1" customWidth="1"/>
    <col min="14" max="14" width="17.3984375" customWidth="1"/>
  </cols>
  <sheetData>
    <row r="1" spans="1:11" x14ac:dyDescent="0.45">
      <c r="A1" s="36" t="s">
        <v>38</v>
      </c>
      <c r="B1" s="36"/>
      <c r="H1" s="1" t="s">
        <v>51</v>
      </c>
      <c r="I1" s="35">
        <f ca="1">TODAY()</f>
        <v>45804</v>
      </c>
    </row>
    <row r="6" spans="1:11" ht="15.75" thickBot="1" x14ac:dyDescent="0.5">
      <c r="A6" s="57" t="s">
        <v>0</v>
      </c>
      <c r="B6" s="57"/>
      <c r="C6" s="57"/>
      <c r="D6" s="57"/>
      <c r="E6" s="57"/>
      <c r="F6" s="57"/>
      <c r="G6" s="57"/>
      <c r="H6" s="57"/>
      <c r="I6" s="57"/>
      <c r="J6" s="57"/>
      <c r="K6" s="57"/>
    </row>
    <row r="7" spans="1:11" ht="15" thickTop="1" thickBot="1" x14ac:dyDescent="0.5">
      <c r="A7" s="48" t="s">
        <v>1</v>
      </c>
      <c r="B7" s="49" t="s">
        <v>2</v>
      </c>
      <c r="C7" s="49" t="s">
        <v>3</v>
      </c>
      <c r="D7" s="49" t="s">
        <v>4</v>
      </c>
      <c r="E7" s="49" t="s">
        <v>5</v>
      </c>
      <c r="F7" s="49" t="s">
        <v>6</v>
      </c>
      <c r="G7" s="49" t="s">
        <v>7</v>
      </c>
      <c r="H7" s="49" t="s">
        <v>34</v>
      </c>
      <c r="I7" s="49" t="s">
        <v>8</v>
      </c>
      <c r="J7" s="49" t="s">
        <v>9</v>
      </c>
      <c r="K7" s="65" t="s">
        <v>17</v>
      </c>
    </row>
    <row r="8" spans="1:11" ht="15" thickTop="1" thickBot="1" x14ac:dyDescent="0.5">
      <c r="A8" s="53" t="s">
        <v>10</v>
      </c>
      <c r="B8" s="29">
        <v>200</v>
      </c>
      <c r="C8" s="50" t="s">
        <v>25</v>
      </c>
      <c r="D8" s="30" t="s">
        <v>31</v>
      </c>
      <c r="E8" s="50" t="str">
        <f>VLOOKUP(D8, PACIENTES!$C$8:$F$13, 2, FALSE)</f>
        <v>CLAUDIA LIZANA</v>
      </c>
      <c r="F8" s="56">
        <f ca="1">VLOOKUP(D8, PACIENTES!$C$7:$F$13, 4, FALSE)</f>
        <v>11059</v>
      </c>
      <c r="G8" s="30">
        <v>1</v>
      </c>
      <c r="H8" s="50" t="str">
        <f>VLOOKUP(B8, MEDICOS!$C$7:$D$10, 2, FALSE)</f>
        <v>CRISTIAN BERMUDEZ</v>
      </c>
      <c r="I8" s="50" t="str">
        <f>VLOOKUP(C8, CLINICAS!$B$7:$C$9, 2, FALSE)</f>
        <v>REÑACA</v>
      </c>
      <c r="J8" s="50" t="str">
        <f>VLOOKUP(A8, ESPECIALIDADES!$B$7:$D$9, 2, FALSE)</f>
        <v>GENERAL</v>
      </c>
      <c r="K8" s="64">
        <f>VLOOKUP(A8, ESPECIALIDADES!$B$7:$D$9, 3, FALSE)</f>
        <v>22000</v>
      </c>
    </row>
    <row r="9" spans="1:11" ht="15" thickTop="1" thickBot="1" x14ac:dyDescent="0.5">
      <c r="A9" s="54" t="s">
        <v>12</v>
      </c>
      <c r="B9" s="31">
        <v>300</v>
      </c>
      <c r="C9" s="51" t="s">
        <v>27</v>
      </c>
      <c r="D9" s="32" t="s">
        <v>29</v>
      </c>
      <c r="E9" s="50" t="str">
        <f>VLOOKUP(D9, PACIENTES!$C$8:$F$13, 2, FALSE)</f>
        <v>PACO DE LUCIA</v>
      </c>
      <c r="F9" s="56">
        <f ca="1">VLOOKUP(D9, PACIENTES!$C$7:$F$13, 4, FALSE)</f>
        <v>13271</v>
      </c>
      <c r="G9" s="32">
        <v>1</v>
      </c>
      <c r="H9" s="50" t="str">
        <f>VLOOKUP(B9, MEDICOS!$C$7:$D$10, 2, FALSE)</f>
        <v>SUSANA LIMENEZ</v>
      </c>
      <c r="I9" s="50" t="str">
        <f>VLOOKUP(C9, CLINICAS!$B$7:$C$9, 2, FALSE)</f>
        <v>VIÑA DEL MAR</v>
      </c>
      <c r="J9" s="50" t="str">
        <f>VLOOKUP(A9, ESPECIALIDADES!$B$7:$D$9, 2, FALSE)</f>
        <v>PEDIATRIA</v>
      </c>
      <c r="K9" s="64">
        <f>VLOOKUP(A9, ESPECIALIDADES!$B$7:$D$9, 3, FALSE)</f>
        <v>28000</v>
      </c>
    </row>
    <row r="10" spans="1:11" ht="15" thickTop="1" thickBot="1" x14ac:dyDescent="0.5">
      <c r="A10" s="54" t="s">
        <v>12</v>
      </c>
      <c r="B10" s="31">
        <v>300</v>
      </c>
      <c r="C10" s="51" t="s">
        <v>11</v>
      </c>
      <c r="D10" s="32" t="s">
        <v>30</v>
      </c>
      <c r="E10" s="50" t="str">
        <f>VLOOKUP(D10, PACIENTES!$C$8:$F$13, 2, FALSE)</f>
        <v>LUIS GANGAS</v>
      </c>
      <c r="F10" s="56">
        <f ca="1">VLOOKUP(D10, PACIENTES!$C$7:$F$13, 4, FALSE)</f>
        <v>9790</v>
      </c>
      <c r="G10" s="32">
        <v>2</v>
      </c>
      <c r="H10" s="50" t="str">
        <f>VLOOKUP(B10, MEDICOS!$C$7:$D$10, 2, FALSE)</f>
        <v>SUSANA LIMENEZ</v>
      </c>
      <c r="I10" s="50" t="str">
        <f>VLOOKUP(C10, CLINICAS!$B$7:$C$9, 2, FALSE)</f>
        <v>LOS CARRERA</v>
      </c>
      <c r="J10" s="50" t="str">
        <f>VLOOKUP(A10, ESPECIALIDADES!$B$7:$D$9, 2, FALSE)</f>
        <v>PEDIATRIA</v>
      </c>
      <c r="K10" s="64">
        <f>VLOOKUP(A10, ESPECIALIDADES!$B$7:$D$9, 3, FALSE)</f>
        <v>28000</v>
      </c>
    </row>
    <row r="11" spans="1:11" ht="15" thickTop="1" thickBot="1" x14ac:dyDescent="0.5">
      <c r="A11" s="54" t="s">
        <v>12</v>
      </c>
      <c r="B11" s="31">
        <v>400</v>
      </c>
      <c r="C11" s="51" t="s">
        <v>25</v>
      </c>
      <c r="D11" s="32" t="s">
        <v>32</v>
      </c>
      <c r="E11" s="50" t="str">
        <f>VLOOKUP(D11, PACIENTES!$C$8:$F$13, 2, FALSE)</f>
        <v>VILMA PICAPIEDRA</v>
      </c>
      <c r="F11" s="56">
        <f ca="1">VLOOKUP(D11, PACIENTES!$C$7:$F$13, 4, FALSE)</f>
        <v>9599</v>
      </c>
      <c r="G11" s="32">
        <v>3</v>
      </c>
      <c r="H11" s="50" t="str">
        <f>VLOOKUP(B11, MEDICOS!$C$7:$D$10, 2, FALSE)</f>
        <v>LUISA CORDERO</v>
      </c>
      <c r="I11" s="50" t="str">
        <f>VLOOKUP(C11, CLINICAS!$B$7:$C$9, 2, FALSE)</f>
        <v>REÑACA</v>
      </c>
      <c r="J11" s="50" t="str">
        <f>VLOOKUP(A11, ESPECIALIDADES!$B$7:$D$9, 2, FALSE)</f>
        <v>PEDIATRIA</v>
      </c>
      <c r="K11" s="64">
        <f>VLOOKUP(A11, ESPECIALIDADES!$B$7:$D$9, 3, FALSE)</f>
        <v>28000</v>
      </c>
    </row>
    <row r="12" spans="1:11" ht="15" thickTop="1" thickBot="1" x14ac:dyDescent="0.5">
      <c r="A12" s="54" t="s">
        <v>10</v>
      </c>
      <c r="B12" s="31">
        <v>100</v>
      </c>
      <c r="C12" s="51" t="s">
        <v>27</v>
      </c>
      <c r="D12" s="32" t="s">
        <v>33</v>
      </c>
      <c r="E12" s="50" t="str">
        <f>VLOOKUP(D12, PACIENTES!$C$8:$F$13, 2, FALSE)</f>
        <v>VICTORIA PARRA</v>
      </c>
      <c r="F12" s="56">
        <f ca="1">VLOOKUP(D12, PACIENTES!$C$7:$F$13, 4, FALSE)</f>
        <v>8634</v>
      </c>
      <c r="G12" s="32">
        <v>7</v>
      </c>
      <c r="H12" s="50" t="str">
        <f>VLOOKUP(B12, MEDICOS!$C$7:$D$10, 2, FALSE)</f>
        <v>PABLO PARADA</v>
      </c>
      <c r="I12" s="50" t="str">
        <f>VLOOKUP(C12, CLINICAS!$B$7:$C$9, 2, FALSE)</f>
        <v>VIÑA DEL MAR</v>
      </c>
      <c r="J12" s="50" t="str">
        <f>VLOOKUP(A12, ESPECIALIDADES!$B$7:$D$9, 2, FALSE)</f>
        <v>GENERAL</v>
      </c>
      <c r="K12" s="64">
        <f>VLOOKUP(A12, ESPECIALIDADES!$B$7:$D$9, 3, FALSE)</f>
        <v>22000</v>
      </c>
    </row>
    <row r="13" spans="1:11" ht="15" thickTop="1" thickBot="1" x14ac:dyDescent="0.5">
      <c r="A13" s="54" t="s">
        <v>10</v>
      </c>
      <c r="B13" s="31">
        <v>100</v>
      </c>
      <c r="C13" s="51" t="s">
        <v>11</v>
      </c>
      <c r="D13" s="32" t="s">
        <v>33</v>
      </c>
      <c r="E13" s="50" t="str">
        <f>VLOOKUP(D13, PACIENTES!$C$8:$F$13, 2, FALSE)</f>
        <v>VICTORIA PARRA</v>
      </c>
      <c r="F13" s="56">
        <f ca="1">VLOOKUP(D13, PACIENTES!$C$7:$F$13, 4, FALSE)</f>
        <v>8634</v>
      </c>
      <c r="G13" s="32">
        <v>4</v>
      </c>
      <c r="H13" s="50" t="str">
        <f>VLOOKUP(B13, MEDICOS!$C$7:$D$10, 2, FALSE)</f>
        <v>PABLO PARADA</v>
      </c>
      <c r="I13" s="50" t="str">
        <f>VLOOKUP(C13, CLINICAS!$B$7:$C$9, 2, FALSE)</f>
        <v>LOS CARRERA</v>
      </c>
      <c r="J13" s="50" t="str">
        <f>VLOOKUP(A13, ESPECIALIDADES!$B$7:$D$9, 2, FALSE)</f>
        <v>GENERAL</v>
      </c>
      <c r="K13" s="64">
        <f>VLOOKUP(A13, ESPECIALIDADES!$B$7:$D$9, 3, FALSE)</f>
        <v>22000</v>
      </c>
    </row>
    <row r="14" spans="1:11" ht="15" thickTop="1" thickBot="1" x14ac:dyDescent="0.5">
      <c r="A14" s="54" t="s">
        <v>23</v>
      </c>
      <c r="B14" s="31">
        <v>400</v>
      </c>
      <c r="C14" s="51" t="s">
        <v>25</v>
      </c>
      <c r="D14" s="32" t="s">
        <v>28</v>
      </c>
      <c r="E14" s="50" t="str">
        <f>VLOOKUP(D14, PACIENTES!$C$8:$F$13, 2, FALSE)</f>
        <v>HUGO GONZALEZ</v>
      </c>
      <c r="F14" s="56">
        <f ca="1">VLOOKUP(D14, PACIENTES!$C$7:$F$13, 4, FALSE)</f>
        <v>25549</v>
      </c>
      <c r="G14" s="32">
        <v>4</v>
      </c>
      <c r="H14" s="50" t="str">
        <f>VLOOKUP(B14, MEDICOS!$C$7:$D$10, 2, FALSE)</f>
        <v>LUISA CORDERO</v>
      </c>
      <c r="I14" s="50" t="str">
        <f>VLOOKUP(C14, CLINICAS!$B$7:$C$9, 2, FALSE)</f>
        <v>REÑACA</v>
      </c>
      <c r="J14" s="50" t="str">
        <f>VLOOKUP(A14, ESPECIALIDADES!$B$7:$D$9, 2, FALSE)</f>
        <v>TRAUMATOLOGIA</v>
      </c>
      <c r="K14" s="64">
        <f>VLOOKUP(A14, ESPECIALIDADES!$B$7:$D$9, 3, FALSE)</f>
        <v>35000</v>
      </c>
    </row>
    <row r="15" spans="1:11" ht="15" thickTop="1" thickBot="1" x14ac:dyDescent="0.5">
      <c r="A15" s="54" t="s">
        <v>23</v>
      </c>
      <c r="B15" s="31">
        <v>400</v>
      </c>
      <c r="C15" s="51" t="s">
        <v>27</v>
      </c>
      <c r="D15" s="32" t="s">
        <v>32</v>
      </c>
      <c r="E15" s="50" t="str">
        <f>VLOOKUP(D15, PACIENTES!$C$8:$F$13, 2, FALSE)</f>
        <v>VILMA PICAPIEDRA</v>
      </c>
      <c r="F15" s="56">
        <f ca="1">VLOOKUP(D15, PACIENTES!$C$7:$F$13, 4, FALSE)</f>
        <v>9599</v>
      </c>
      <c r="G15" s="32">
        <v>5</v>
      </c>
      <c r="H15" s="50" t="str">
        <f>VLOOKUP(B15, MEDICOS!$C$7:$D$10, 2, FALSE)</f>
        <v>LUISA CORDERO</v>
      </c>
      <c r="I15" s="50" t="str">
        <f>VLOOKUP(C15, CLINICAS!$B$7:$C$9, 2, FALSE)</f>
        <v>VIÑA DEL MAR</v>
      </c>
      <c r="J15" s="50" t="str">
        <f>VLOOKUP(A15, ESPECIALIDADES!$B$7:$D$9, 2, FALSE)</f>
        <v>TRAUMATOLOGIA</v>
      </c>
      <c r="K15" s="64">
        <f>VLOOKUP(A15, ESPECIALIDADES!$B$7:$D$9, 3, FALSE)</f>
        <v>35000</v>
      </c>
    </row>
    <row r="16" spans="1:11" ht="15" thickTop="1" thickBot="1" x14ac:dyDescent="0.5">
      <c r="A16" s="54" t="s">
        <v>10</v>
      </c>
      <c r="B16" s="31">
        <v>200</v>
      </c>
      <c r="C16" s="51" t="s">
        <v>11</v>
      </c>
      <c r="D16" s="32" t="s">
        <v>31</v>
      </c>
      <c r="E16" s="50" t="str">
        <f>VLOOKUP(D16, PACIENTES!$C$8:$F$13, 2, FALSE)</f>
        <v>CLAUDIA LIZANA</v>
      </c>
      <c r="F16" s="56">
        <f ca="1">VLOOKUP(D16, PACIENTES!$C$7:$F$13, 4, FALSE)</f>
        <v>11059</v>
      </c>
      <c r="G16" s="32">
        <v>6</v>
      </c>
      <c r="H16" s="50" t="str">
        <f>VLOOKUP(B16, MEDICOS!$C$7:$D$10, 2, FALSE)</f>
        <v>CRISTIAN BERMUDEZ</v>
      </c>
      <c r="I16" s="50" t="str">
        <f>VLOOKUP(C16, CLINICAS!$B$7:$C$9, 2, FALSE)</f>
        <v>LOS CARRERA</v>
      </c>
      <c r="J16" s="50" t="str">
        <f>VLOOKUP(A16, ESPECIALIDADES!$B$7:$D$9, 2, FALSE)</f>
        <v>GENERAL</v>
      </c>
      <c r="K16" s="64">
        <f>VLOOKUP(A16, ESPECIALIDADES!$B$7:$D$9, 3, FALSE)</f>
        <v>22000</v>
      </c>
    </row>
    <row r="17" spans="1:11" ht="15" thickTop="1" thickBot="1" x14ac:dyDescent="0.5">
      <c r="A17" s="54" t="s">
        <v>10</v>
      </c>
      <c r="B17" s="31">
        <v>200</v>
      </c>
      <c r="C17" s="51" t="s">
        <v>25</v>
      </c>
      <c r="D17" s="32" t="s">
        <v>32</v>
      </c>
      <c r="E17" s="50" t="str">
        <f>VLOOKUP(D17, PACIENTES!$C$8:$F$13, 2, FALSE)</f>
        <v>VILMA PICAPIEDRA</v>
      </c>
      <c r="F17" s="56">
        <f ca="1">VLOOKUP(D17, PACIENTES!$C$7:$F$13, 4, FALSE)</f>
        <v>9599</v>
      </c>
      <c r="G17" s="32">
        <v>1</v>
      </c>
      <c r="H17" s="50" t="str">
        <f>VLOOKUP(B17, MEDICOS!$C$7:$D$10, 2, FALSE)</f>
        <v>CRISTIAN BERMUDEZ</v>
      </c>
      <c r="I17" s="50" t="str">
        <f>VLOOKUP(C17, CLINICAS!$B$7:$C$9, 2, FALSE)</f>
        <v>REÑACA</v>
      </c>
      <c r="J17" s="50" t="str">
        <f>VLOOKUP(A17, ESPECIALIDADES!$B$7:$D$9, 2, FALSE)</f>
        <v>GENERAL</v>
      </c>
      <c r="K17" s="64">
        <f>VLOOKUP(A17, ESPECIALIDADES!$B$7:$D$9, 3, FALSE)</f>
        <v>22000</v>
      </c>
    </row>
    <row r="18" spans="1:11" ht="15" thickTop="1" thickBot="1" x14ac:dyDescent="0.5">
      <c r="A18" s="55" t="s">
        <v>12</v>
      </c>
      <c r="B18" s="33">
        <v>300</v>
      </c>
      <c r="C18" s="52" t="s">
        <v>11</v>
      </c>
      <c r="D18" s="34" t="s">
        <v>29</v>
      </c>
      <c r="E18" s="50" t="str">
        <f>VLOOKUP(D18, PACIENTES!$C$8:$F$13, 2, FALSE)</f>
        <v>PACO DE LUCIA</v>
      </c>
      <c r="F18" s="56">
        <f ca="1">VLOOKUP(D18, PACIENTES!$C$7:$F$13, 4, FALSE)</f>
        <v>13271</v>
      </c>
      <c r="G18" s="34">
        <v>2</v>
      </c>
      <c r="H18" s="50" t="str">
        <f>VLOOKUP(B18, MEDICOS!$C$7:$D$10, 2, FALSE)</f>
        <v>SUSANA LIMENEZ</v>
      </c>
      <c r="I18" s="50" t="str">
        <f>VLOOKUP(C18, CLINICAS!$B$7:$C$9, 2, FALSE)</f>
        <v>LOS CARRERA</v>
      </c>
      <c r="J18" s="50" t="str">
        <f>VLOOKUP(A18, ESPECIALIDADES!$B$7:$D$9, 2, FALSE)</f>
        <v>PEDIATRIA</v>
      </c>
      <c r="K18" s="64">
        <f>VLOOKUP(A18, ESPECIALIDADES!$B$7:$D$9, 3, FALSE)</f>
        <v>28000</v>
      </c>
    </row>
    <row r="19" spans="1:11" ht="14.65" thickBot="1" x14ac:dyDescent="0.5">
      <c r="J19" s="24" t="s">
        <v>22</v>
      </c>
      <c r="K19" s="62">
        <f>SUM(K8:K18)</f>
        <v>292000</v>
      </c>
    </row>
    <row r="20" spans="1:11" ht="15" thickTop="1" thickBot="1" x14ac:dyDescent="0.5">
      <c r="A20" s="4"/>
      <c r="B20" s="4"/>
      <c r="C20" s="4"/>
      <c r="D20" s="4"/>
      <c r="E20" s="4"/>
      <c r="F20" s="4"/>
      <c r="G20" s="4"/>
      <c r="H20" s="7" t="s">
        <v>48</v>
      </c>
      <c r="I20" s="28">
        <v>0.19</v>
      </c>
      <c r="J20" s="25" t="s">
        <v>47</v>
      </c>
      <c r="K20" s="63">
        <f>K19*I20</f>
        <v>55480</v>
      </c>
    </row>
    <row r="21" spans="1:11" ht="15" thickTop="1" thickBot="1" x14ac:dyDescent="0.5">
      <c r="A21" s="4"/>
      <c r="B21" s="4"/>
      <c r="C21" s="4"/>
      <c r="D21" s="4"/>
      <c r="E21" s="4"/>
      <c r="F21" s="4"/>
      <c r="G21" s="4"/>
      <c r="H21" s="4"/>
      <c r="I21" s="4"/>
      <c r="J21" s="26" t="s">
        <v>49</v>
      </c>
      <c r="K21" s="61">
        <f>K19+K20</f>
        <v>347480</v>
      </c>
    </row>
    <row r="22" spans="1:11" ht="14.65" thickTop="1" x14ac:dyDescent="0.45">
      <c r="A22" s="2"/>
      <c r="B22" s="2"/>
      <c r="C22" s="2"/>
      <c r="D22" s="2"/>
      <c r="E22" s="2"/>
      <c r="F22" s="2"/>
      <c r="G22" s="2"/>
      <c r="H22" s="2"/>
      <c r="J22" s="27" t="s">
        <v>35</v>
      </c>
      <c r="K22" s="60" t="str">
        <f>IF(K21&gt;700000,"MUY CARO",IF(AND(K21&gt;=500000,K21&lt;=700000),"CARO",IF(AND(K21&gt;=335000,K21&lt;=499999),"RELATIVAMENTE CARO",IF(AND(K21&gt;=85000,K21&lt;=334999),"MEDIANAMENTE CARO",IF(K21&lt;85000,"BARATO","")))))</f>
        <v>RELATIVAMENTE CARO</v>
      </c>
    </row>
    <row r="23" spans="1:11" x14ac:dyDescent="0.45">
      <c r="A23" s="2"/>
      <c r="B23" s="2"/>
      <c r="C23" s="2"/>
      <c r="D23" s="2"/>
      <c r="E23" s="2"/>
      <c r="F23" s="2"/>
      <c r="G23" s="2"/>
      <c r="H23" s="2"/>
      <c r="I23" s="2"/>
      <c r="J23" s="4"/>
      <c r="K23" s="4"/>
    </row>
    <row r="24" spans="1:11" x14ac:dyDescent="0.45">
      <c r="D24" s="2"/>
      <c r="E24" s="2"/>
      <c r="F24" s="2"/>
      <c r="G24" s="2"/>
      <c r="H24" s="2"/>
      <c r="I24" s="2"/>
      <c r="J24" s="4"/>
      <c r="K24" s="4"/>
    </row>
    <row r="25" spans="1:11" x14ac:dyDescent="0.45">
      <c r="D25" s="2"/>
      <c r="E25" s="2"/>
      <c r="F25" s="2"/>
      <c r="G25" s="2"/>
      <c r="H25" s="2"/>
      <c r="I25" s="2"/>
      <c r="J25" s="4"/>
      <c r="K25" s="4"/>
    </row>
    <row r="26" spans="1:11" ht="41.25" customHeight="1" x14ac:dyDescent="0.45">
      <c r="D26" s="2"/>
      <c r="E26" s="2"/>
      <c r="F26" s="2"/>
      <c r="G26" s="2"/>
      <c r="H26" s="2"/>
      <c r="I26" s="2"/>
      <c r="J26" s="4"/>
      <c r="K26" s="4"/>
    </row>
    <row r="27" spans="1:11" x14ac:dyDescent="0.45">
      <c r="D27" s="2"/>
      <c r="E27" s="2"/>
      <c r="F27" s="2"/>
      <c r="G27" s="2"/>
      <c r="H27" s="2"/>
      <c r="I27" s="2"/>
      <c r="J27" s="4"/>
      <c r="K27" s="4"/>
    </row>
    <row r="28" spans="1:11" ht="41.25" customHeight="1" x14ac:dyDescent="0.45">
      <c r="D28" s="2"/>
      <c r="E28" s="2"/>
      <c r="F28" s="2"/>
      <c r="G28" s="2"/>
      <c r="H28" s="2"/>
      <c r="I28" s="2"/>
      <c r="J28" s="4"/>
      <c r="K28" s="4"/>
    </row>
    <row r="29" spans="1:11" x14ac:dyDescent="0.45">
      <c r="D29" s="2"/>
      <c r="E29" s="2"/>
      <c r="F29" s="2"/>
      <c r="G29" s="2"/>
      <c r="H29" s="2"/>
      <c r="I29" s="2"/>
    </row>
    <row r="30" spans="1:11" ht="41.25" customHeight="1" x14ac:dyDescent="0.45">
      <c r="D30" s="2"/>
      <c r="E30" s="2"/>
      <c r="F30" s="2"/>
      <c r="G30" s="2"/>
      <c r="H30" s="2"/>
      <c r="I30" s="2"/>
    </row>
    <row r="31" spans="1:11" x14ac:dyDescent="0.45">
      <c r="D31" s="2"/>
      <c r="E31" s="2"/>
      <c r="F31" s="2"/>
      <c r="G31" s="2"/>
      <c r="H31" s="2"/>
      <c r="I31" s="2"/>
    </row>
    <row r="32" spans="1:11" x14ac:dyDescent="0.45">
      <c r="D32" s="2"/>
      <c r="E32" s="2"/>
      <c r="F32" s="2"/>
      <c r="G32" s="2"/>
      <c r="H32" s="2"/>
      <c r="I32" s="2"/>
    </row>
    <row r="33" spans="1:9" x14ac:dyDescent="0.45">
      <c r="A33" s="2"/>
      <c r="B33" s="2"/>
      <c r="C33" s="2"/>
      <c r="D33" s="2"/>
      <c r="E33" s="2"/>
      <c r="F33" s="2"/>
      <c r="G33" s="2"/>
      <c r="H33" s="2"/>
      <c r="I33" s="2"/>
    </row>
  </sheetData>
  <mergeCells count="2">
    <mergeCell ref="A1:B1"/>
    <mergeCell ref="A6:K6"/>
  </mergeCells>
  <dataValidations count="2">
    <dataValidation type="whole" showInputMessage="1" showErrorMessage="1" errorTitle="ERROR" error="ISAPRE NO VALIDA" promptTitle="Isapre" prompt="Isapres existentes 1-7" sqref="G8:G18" xr:uid="{7880CA22-6B14-4E4A-B088-6BBCCE2B4AE1}">
      <formula1>1</formula1>
      <formula2>7</formula2>
    </dataValidation>
    <dataValidation type="decimal" operator="greaterThan" allowBlank="1" showInputMessage="1" showErrorMessage="1" errorTitle="ERROR" error="VALOR DE IVA INVALIDO" promptTitle="IVA (%)" prompt="Ingrese el % de impuesto, este debe ser &gt;0 y no vacío" sqref="I20" xr:uid="{9D54059A-F7FB-411B-9FCB-48EB887AF3E5}">
      <formula1>0</formula1>
    </dataValidation>
  </dataValidations>
  <pageMargins left="0.7" right="0.7" top="0.75" bottom="0.75" header="0.3" footer="0.3"/>
  <pageSetup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2" r:id="rId4" name="Button 38">
              <controlPr defaultSize="0" print="0" autoFill="0" autoPict="0" macro="[0]!Macro1">
                <anchor moveWithCells="1" sizeWithCells="1">
                  <from>
                    <xdr:col>12</xdr:col>
                    <xdr:colOff>0</xdr:colOff>
                    <xdr:row>13</xdr:row>
                    <xdr:rowOff>19050</xdr:rowOff>
                  </from>
                  <to>
                    <xdr:col>13</xdr:col>
                    <xdr:colOff>9525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" name="Button 40">
              <controlPr defaultSize="0" print="0" autoFill="0" autoPict="0" macro="[0]!Macro2">
                <anchor moveWithCells="1" sizeWithCells="1">
                  <from>
                    <xdr:col>11</xdr:col>
                    <xdr:colOff>752475</xdr:colOff>
                    <xdr:row>15</xdr:row>
                    <xdr:rowOff>0</xdr:rowOff>
                  </from>
                  <to>
                    <xdr:col>13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5:D9"/>
  <sheetViews>
    <sheetView workbookViewId="0">
      <selection activeCell="F7" sqref="F7"/>
    </sheetView>
  </sheetViews>
  <sheetFormatPr baseColWidth="10" defaultRowHeight="14.25" x14ac:dyDescent="0.45"/>
  <cols>
    <col min="3" max="3" width="21.1328125" customWidth="1"/>
    <col min="4" max="4" width="25.1328125" customWidth="1"/>
    <col min="8" max="8" width="17.265625" customWidth="1"/>
    <col min="9" max="9" width="16.73046875" customWidth="1"/>
  </cols>
  <sheetData>
    <row r="5" spans="2:4" x14ac:dyDescent="0.45">
      <c r="B5" s="37" t="s">
        <v>14</v>
      </c>
      <c r="C5" s="37"/>
      <c r="D5" s="37"/>
    </row>
    <row r="6" spans="2:4" x14ac:dyDescent="0.45">
      <c r="B6" s="39" t="s">
        <v>15</v>
      </c>
      <c r="C6" s="39" t="s">
        <v>9</v>
      </c>
      <c r="D6" s="39" t="s">
        <v>17</v>
      </c>
    </row>
    <row r="7" spans="2:4" x14ac:dyDescent="0.45">
      <c r="B7" s="23" t="s">
        <v>10</v>
      </c>
      <c r="C7" s="23" t="s">
        <v>18</v>
      </c>
      <c r="D7" s="38">
        <v>22000</v>
      </c>
    </row>
    <row r="8" spans="2:4" x14ac:dyDescent="0.45">
      <c r="B8" s="23" t="s">
        <v>12</v>
      </c>
      <c r="C8" s="23" t="s">
        <v>19</v>
      </c>
      <c r="D8" s="38">
        <v>28000</v>
      </c>
    </row>
    <row r="9" spans="2:4" x14ac:dyDescent="0.45">
      <c r="B9" s="23" t="s">
        <v>23</v>
      </c>
      <c r="C9" s="23" t="s">
        <v>37</v>
      </c>
      <c r="D9" s="38">
        <v>35000</v>
      </c>
    </row>
  </sheetData>
  <mergeCells count="1">
    <mergeCell ref="B5:D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C3:F13"/>
  <sheetViews>
    <sheetView zoomScale="108" workbookViewId="0">
      <selection activeCell="G12" sqref="G12"/>
    </sheetView>
  </sheetViews>
  <sheetFormatPr baseColWidth="10" defaultRowHeight="14.25" x14ac:dyDescent="0.45"/>
  <cols>
    <col min="4" max="5" width="23.59765625" customWidth="1"/>
    <col min="6" max="6" width="13.59765625" customWidth="1"/>
  </cols>
  <sheetData>
    <row r="3" spans="3:6" x14ac:dyDescent="0.45">
      <c r="E3" s="43" t="s">
        <v>51</v>
      </c>
      <c r="F3" s="44">
        <f ca="1">TODAY()</f>
        <v>45804</v>
      </c>
    </row>
    <row r="6" spans="3:6" x14ac:dyDescent="0.45">
      <c r="C6" s="40" t="s">
        <v>20</v>
      </c>
      <c r="D6" s="41"/>
      <c r="E6" s="41"/>
      <c r="F6" s="42"/>
    </row>
    <row r="7" spans="3:6" x14ac:dyDescent="0.45">
      <c r="C7" s="39" t="s">
        <v>4</v>
      </c>
      <c r="D7" s="39" t="s">
        <v>16</v>
      </c>
      <c r="E7" s="39" t="s">
        <v>50</v>
      </c>
      <c r="F7" s="39" t="s">
        <v>6</v>
      </c>
    </row>
    <row r="8" spans="3:6" x14ac:dyDescent="0.45">
      <c r="C8" s="23" t="s">
        <v>28</v>
      </c>
      <c r="D8" s="23" t="s">
        <v>43</v>
      </c>
      <c r="E8" s="45">
        <v>20255</v>
      </c>
      <c r="F8" s="46">
        <f ca="1">$F$3-E8</f>
        <v>25549</v>
      </c>
    </row>
    <row r="9" spans="3:6" x14ac:dyDescent="0.45">
      <c r="C9" s="23" t="s">
        <v>29</v>
      </c>
      <c r="D9" s="23" t="s">
        <v>44</v>
      </c>
      <c r="E9" s="45">
        <v>32533</v>
      </c>
      <c r="F9" s="46">
        <f t="shared" ref="F9:F13" ca="1" si="0">$F$3-E9</f>
        <v>13271</v>
      </c>
    </row>
    <row r="10" spans="3:6" x14ac:dyDescent="0.45">
      <c r="C10" s="23" t="s">
        <v>30</v>
      </c>
      <c r="D10" s="23" t="s">
        <v>45</v>
      </c>
      <c r="E10" s="45">
        <v>36014</v>
      </c>
      <c r="F10" s="46">
        <f t="shared" ca="1" si="0"/>
        <v>9790</v>
      </c>
    </row>
    <row r="11" spans="3:6" x14ac:dyDescent="0.45">
      <c r="C11" s="23" t="s">
        <v>31</v>
      </c>
      <c r="D11" s="23" t="s">
        <v>46</v>
      </c>
      <c r="E11" s="45">
        <v>34745</v>
      </c>
      <c r="F11" s="46">
        <f t="shared" ca="1" si="0"/>
        <v>11059</v>
      </c>
    </row>
    <row r="12" spans="3:6" x14ac:dyDescent="0.45">
      <c r="C12" s="23" t="s">
        <v>32</v>
      </c>
      <c r="D12" s="23" t="s">
        <v>56</v>
      </c>
      <c r="E12" s="45">
        <v>36205</v>
      </c>
      <c r="F12" s="46">
        <f t="shared" ca="1" si="0"/>
        <v>9599</v>
      </c>
    </row>
    <row r="13" spans="3:6" x14ac:dyDescent="0.45">
      <c r="C13" s="23" t="s">
        <v>33</v>
      </c>
      <c r="D13" s="23" t="s">
        <v>57</v>
      </c>
      <c r="E13" s="45">
        <v>37170</v>
      </c>
      <c r="F13" s="46">
        <f t="shared" ca="1" si="0"/>
        <v>8634</v>
      </c>
    </row>
  </sheetData>
  <mergeCells count="1">
    <mergeCell ref="C6:F6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4:C11"/>
  <sheetViews>
    <sheetView workbookViewId="0">
      <selection activeCell="B7" sqref="B7"/>
    </sheetView>
  </sheetViews>
  <sheetFormatPr baseColWidth="10" defaultRowHeight="14.25" x14ac:dyDescent="0.45"/>
  <cols>
    <col min="3" max="3" width="22.265625" customWidth="1"/>
  </cols>
  <sheetData>
    <row r="4" spans="2:3" x14ac:dyDescent="0.45">
      <c r="B4" s="3"/>
      <c r="C4" s="2"/>
    </row>
    <row r="5" spans="2:3" x14ac:dyDescent="0.45">
      <c r="B5" s="40" t="s">
        <v>21</v>
      </c>
      <c r="C5" s="42"/>
    </row>
    <row r="6" spans="2:3" x14ac:dyDescent="0.45">
      <c r="B6" s="39" t="s">
        <v>15</v>
      </c>
      <c r="C6" s="39" t="s">
        <v>8</v>
      </c>
    </row>
    <row r="7" spans="2:3" x14ac:dyDescent="0.45">
      <c r="B7" s="23" t="s">
        <v>11</v>
      </c>
      <c r="C7" s="23" t="s">
        <v>36</v>
      </c>
    </row>
    <row r="8" spans="2:3" x14ac:dyDescent="0.45">
      <c r="B8" s="23" t="s">
        <v>27</v>
      </c>
      <c r="C8" s="23" t="s">
        <v>26</v>
      </c>
    </row>
    <row r="9" spans="2:3" x14ac:dyDescent="0.45">
      <c r="B9" s="23" t="s">
        <v>25</v>
      </c>
      <c r="C9" s="23" t="s">
        <v>24</v>
      </c>
    </row>
    <row r="10" spans="2:3" x14ac:dyDescent="0.45">
      <c r="B10" s="5"/>
      <c r="C10" s="6"/>
    </row>
    <row r="11" spans="2:3" x14ac:dyDescent="0.45">
      <c r="B11" s="5"/>
      <c r="C11" s="6"/>
    </row>
  </sheetData>
  <mergeCells count="1">
    <mergeCell ref="B5:C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C5:D10"/>
  <sheetViews>
    <sheetView workbookViewId="0">
      <selection activeCell="C7" sqref="C7:D10"/>
    </sheetView>
  </sheetViews>
  <sheetFormatPr baseColWidth="10" defaultRowHeight="14.25" x14ac:dyDescent="0.45"/>
  <cols>
    <col min="4" max="4" width="28.265625" customWidth="1"/>
  </cols>
  <sheetData>
    <row r="5" spans="3:4" x14ac:dyDescent="0.45">
      <c r="C5" s="40" t="s">
        <v>13</v>
      </c>
      <c r="D5" s="42"/>
    </row>
    <row r="6" spans="3:4" x14ac:dyDescent="0.45">
      <c r="C6" s="39" t="s">
        <v>15</v>
      </c>
      <c r="D6" s="39" t="s">
        <v>16</v>
      </c>
    </row>
    <row r="7" spans="3:4" x14ac:dyDescent="0.45">
      <c r="C7" s="47">
        <v>100</v>
      </c>
      <c r="D7" s="23" t="s">
        <v>39</v>
      </c>
    </row>
    <row r="8" spans="3:4" x14ac:dyDescent="0.45">
      <c r="C8" s="47">
        <v>200</v>
      </c>
      <c r="D8" s="23" t="s">
        <v>40</v>
      </c>
    </row>
    <row r="9" spans="3:4" x14ac:dyDescent="0.45">
      <c r="C9" s="47">
        <v>300</v>
      </c>
      <c r="D9" s="23" t="s">
        <v>41</v>
      </c>
    </row>
    <row r="10" spans="3:4" x14ac:dyDescent="0.45">
      <c r="C10" s="47">
        <v>400</v>
      </c>
      <c r="D10" s="23" t="s">
        <v>42</v>
      </c>
    </row>
  </sheetData>
  <mergeCells count="1">
    <mergeCell ref="C5:D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7FE19-4902-4070-B887-C3E1C25C4762}">
  <sheetPr codeName="Hoja7"/>
  <dimension ref="A1:K33"/>
  <sheetViews>
    <sheetView zoomScale="103" workbookViewId="0">
      <selection activeCell="F25" sqref="F25"/>
    </sheetView>
  </sheetViews>
  <sheetFormatPr baseColWidth="10" defaultRowHeight="14.25" x14ac:dyDescent="0.45"/>
  <cols>
    <col min="1" max="1" width="9.53125" bestFit="1" customWidth="1"/>
    <col min="2" max="2" width="10.33203125" bestFit="1" customWidth="1"/>
    <col min="3" max="3" width="9.53125" bestFit="1" customWidth="1"/>
    <col min="4" max="4" width="10.33203125" bestFit="1" customWidth="1"/>
    <col min="5" max="5" width="16.86328125" customWidth="1"/>
    <col min="6" max="6" width="5.33203125" bestFit="1" customWidth="1"/>
    <col min="7" max="7" width="6.3984375" bestFit="1" customWidth="1"/>
    <col min="8" max="8" width="17.53125" bestFit="1" customWidth="1"/>
    <col min="9" max="9" width="12.3984375" bestFit="1" customWidth="1"/>
    <col min="10" max="10" width="15.06640625" bestFit="1" customWidth="1"/>
    <col min="11" max="11" width="19.59765625" bestFit="1" customWidth="1"/>
    <col min="14" max="14" width="17.3984375" customWidth="1"/>
  </cols>
  <sheetData>
    <row r="1" spans="1:11" x14ac:dyDescent="0.45">
      <c r="A1" s="36" t="s">
        <v>38</v>
      </c>
      <c r="B1" s="36"/>
      <c r="H1" s="1" t="s">
        <v>51</v>
      </c>
      <c r="I1" s="35">
        <f ca="1">TODAY()</f>
        <v>45804</v>
      </c>
    </row>
    <row r="6" spans="1:11" ht="15.75" thickBot="1" x14ac:dyDescent="0.5">
      <c r="A6" s="57" t="s">
        <v>0</v>
      </c>
      <c r="B6" s="57"/>
      <c r="C6" s="57"/>
      <c r="D6" s="57"/>
      <c r="E6" s="57"/>
      <c r="F6" s="57"/>
      <c r="G6" s="57"/>
      <c r="H6" s="57"/>
      <c r="I6" s="57"/>
      <c r="J6" s="57"/>
      <c r="K6" s="57"/>
    </row>
    <row r="7" spans="1:11" ht="15" thickTop="1" thickBot="1" x14ac:dyDescent="0.5">
      <c r="A7" s="48" t="s">
        <v>1</v>
      </c>
      <c r="B7" s="49" t="s">
        <v>2</v>
      </c>
      <c r="C7" s="49" t="s">
        <v>3</v>
      </c>
      <c r="D7" s="49" t="s">
        <v>4</v>
      </c>
      <c r="E7" s="49" t="s">
        <v>5</v>
      </c>
      <c r="F7" s="49" t="s">
        <v>6</v>
      </c>
      <c r="G7" s="49" t="s">
        <v>7</v>
      </c>
      <c r="H7" s="49" t="s">
        <v>34</v>
      </c>
      <c r="I7" s="49" t="s">
        <v>8</v>
      </c>
      <c r="J7" s="49" t="s">
        <v>9</v>
      </c>
      <c r="K7" s="65" t="s">
        <v>17</v>
      </c>
    </row>
    <row r="8" spans="1:11" ht="15" thickTop="1" thickBot="1" x14ac:dyDescent="0.5">
      <c r="A8" s="53" t="s">
        <v>12</v>
      </c>
      <c r="B8" s="29">
        <v>400</v>
      </c>
      <c r="C8" s="50" t="s">
        <v>25</v>
      </c>
      <c r="D8" s="30" t="s">
        <v>32</v>
      </c>
      <c r="E8" s="50" t="str">
        <f>VLOOKUP(D8, PACIENTES!$C$8:$F$13, 2, FALSE)</f>
        <v>VILMA PICAPIEDRA</v>
      </c>
      <c r="F8" s="56">
        <f ca="1">VLOOKUP(D8, PACIENTES!$C$7:$F$13, 4, FALSE)</f>
        <v>9599</v>
      </c>
      <c r="G8" s="30">
        <v>3</v>
      </c>
      <c r="H8" s="50" t="str">
        <f>VLOOKUP(B8, MEDICOS!$C$7:$D$10, 2, FALSE)</f>
        <v>LUISA CORDERO</v>
      </c>
      <c r="I8" s="50" t="str">
        <f>VLOOKUP(C8, CLINICAS!$B$7:$C$9, 2, FALSE)</f>
        <v>REÑACA</v>
      </c>
      <c r="J8" s="50" t="str">
        <f>VLOOKUP(A8, ESPECIALIDADES!$B$7:$D$9, 2, FALSE)</f>
        <v>PEDIATRIA</v>
      </c>
      <c r="K8" s="64">
        <f>VLOOKUP(A8, ESPECIALIDADES!$B$7:$D$9, 3, FALSE)</f>
        <v>28000</v>
      </c>
    </row>
    <row r="9" spans="1:11" ht="15" thickTop="1" thickBot="1" x14ac:dyDescent="0.5">
      <c r="A9" s="54" t="s">
        <v>23</v>
      </c>
      <c r="B9" s="31">
        <v>400</v>
      </c>
      <c r="C9" s="51" t="s">
        <v>27</v>
      </c>
      <c r="D9" s="32" t="s">
        <v>32</v>
      </c>
      <c r="E9" s="50" t="str">
        <f>VLOOKUP(D9, PACIENTES!$C$8:$F$13, 2, FALSE)</f>
        <v>VILMA PICAPIEDRA</v>
      </c>
      <c r="F9" s="56">
        <f ca="1">VLOOKUP(D9, PACIENTES!$C$7:$F$13, 4, FALSE)</f>
        <v>9599</v>
      </c>
      <c r="G9" s="32">
        <v>5</v>
      </c>
      <c r="H9" s="50" t="str">
        <f>VLOOKUP(B9, MEDICOS!$C$7:$D$10, 2, FALSE)</f>
        <v>LUISA CORDERO</v>
      </c>
      <c r="I9" s="50" t="str">
        <f>VLOOKUP(C9, CLINICAS!$B$7:$C$9, 2, FALSE)</f>
        <v>VIÑA DEL MAR</v>
      </c>
      <c r="J9" s="50" t="str">
        <f>VLOOKUP(A9, ESPECIALIDADES!$B$7:$D$9, 2, FALSE)</f>
        <v>TRAUMATOLOGIA</v>
      </c>
      <c r="K9" s="64">
        <f>VLOOKUP(A9, ESPECIALIDADES!$B$7:$D$9, 3, FALSE)</f>
        <v>35000</v>
      </c>
    </row>
    <row r="10" spans="1:11" ht="15" thickTop="1" thickBot="1" x14ac:dyDescent="0.5">
      <c r="A10" s="54" t="s">
        <v>10</v>
      </c>
      <c r="B10" s="31">
        <v>200</v>
      </c>
      <c r="C10" s="51" t="s">
        <v>25</v>
      </c>
      <c r="D10" s="32" t="s">
        <v>32</v>
      </c>
      <c r="E10" s="50" t="str">
        <f>VLOOKUP(D10, PACIENTES!$C$8:$F$13, 2, FALSE)</f>
        <v>VILMA PICAPIEDRA</v>
      </c>
      <c r="F10" s="56">
        <f ca="1">VLOOKUP(D10, PACIENTES!$C$7:$F$13, 4, FALSE)</f>
        <v>9599</v>
      </c>
      <c r="G10" s="32">
        <v>1</v>
      </c>
      <c r="H10" s="50" t="str">
        <f>VLOOKUP(B10, MEDICOS!$C$7:$D$10, 2, FALSE)</f>
        <v>CRISTIAN BERMUDEZ</v>
      </c>
      <c r="I10" s="50" t="str">
        <f>VLOOKUP(C10, CLINICAS!$B$7:$C$9, 2, FALSE)</f>
        <v>REÑACA</v>
      </c>
      <c r="J10" s="50" t="str">
        <f>VLOOKUP(A10, ESPECIALIDADES!$B$7:$D$9, 2, FALSE)</f>
        <v>GENERAL</v>
      </c>
      <c r="K10" s="64">
        <f>VLOOKUP(A10, ESPECIALIDADES!$B$7:$D$9, 3, FALSE)</f>
        <v>22000</v>
      </c>
    </row>
    <row r="11" spans="1:11" ht="15" thickTop="1" thickBot="1" x14ac:dyDescent="0.5">
      <c r="A11" s="54" t="s">
        <v>12</v>
      </c>
      <c r="B11" s="31">
        <v>300</v>
      </c>
      <c r="C11" s="51" t="s">
        <v>11</v>
      </c>
      <c r="D11" s="32" t="s">
        <v>30</v>
      </c>
      <c r="E11" s="50" t="str">
        <f>VLOOKUP(D11, PACIENTES!$C$8:$F$13, 2, FALSE)</f>
        <v>LUIS GANGAS</v>
      </c>
      <c r="F11" s="56">
        <f ca="1">VLOOKUP(D11, PACIENTES!$C$7:$F$13, 4, FALSE)</f>
        <v>9790</v>
      </c>
      <c r="G11" s="32">
        <v>2</v>
      </c>
      <c r="H11" s="50" t="str">
        <f>VLOOKUP(B11, MEDICOS!$C$7:$D$10, 2, FALSE)</f>
        <v>SUSANA LIMENEZ</v>
      </c>
      <c r="I11" s="50" t="str">
        <f>VLOOKUP(C11, CLINICAS!$B$7:$C$9, 2, FALSE)</f>
        <v>LOS CARRERA</v>
      </c>
      <c r="J11" s="50" t="str">
        <f>VLOOKUP(A11, ESPECIALIDADES!$B$7:$D$9, 2, FALSE)</f>
        <v>PEDIATRIA</v>
      </c>
      <c r="K11" s="64">
        <f>VLOOKUP(A11, ESPECIALIDADES!$B$7:$D$9, 3, FALSE)</f>
        <v>28000</v>
      </c>
    </row>
    <row r="12" spans="1:11" ht="15" thickTop="1" thickBot="1" x14ac:dyDescent="0.5">
      <c r="A12" s="54" t="s">
        <v>12</v>
      </c>
      <c r="B12" s="31">
        <v>300</v>
      </c>
      <c r="C12" s="51" t="s">
        <v>27</v>
      </c>
      <c r="D12" s="32" t="s">
        <v>29</v>
      </c>
      <c r="E12" s="50" t="str">
        <f>VLOOKUP(D12, PACIENTES!$C$8:$F$13, 2, FALSE)</f>
        <v>PACO DE LUCIA</v>
      </c>
      <c r="F12" s="56">
        <f ca="1">VLOOKUP(D12, PACIENTES!$C$7:$F$13, 4, FALSE)</f>
        <v>13271</v>
      </c>
      <c r="G12" s="32">
        <v>1</v>
      </c>
      <c r="H12" s="50" t="str">
        <f>VLOOKUP(B12, MEDICOS!$C$7:$D$10, 2, FALSE)</f>
        <v>SUSANA LIMENEZ</v>
      </c>
      <c r="I12" s="50" t="str">
        <f>VLOOKUP(C12, CLINICAS!$B$7:$C$9, 2, FALSE)</f>
        <v>VIÑA DEL MAR</v>
      </c>
      <c r="J12" s="50" t="str">
        <f>VLOOKUP(A12, ESPECIALIDADES!$B$7:$D$9, 2, FALSE)</f>
        <v>PEDIATRIA</v>
      </c>
      <c r="K12" s="64">
        <f>VLOOKUP(A12, ESPECIALIDADES!$B$7:$D$9, 3, FALSE)</f>
        <v>28000</v>
      </c>
    </row>
    <row r="13" spans="1:11" ht="15" thickTop="1" thickBot="1" x14ac:dyDescent="0.5">
      <c r="A13" s="54" t="s">
        <v>12</v>
      </c>
      <c r="B13" s="31">
        <v>300</v>
      </c>
      <c r="C13" s="51" t="s">
        <v>11</v>
      </c>
      <c r="D13" s="32" t="s">
        <v>29</v>
      </c>
      <c r="E13" s="50" t="str">
        <f>VLOOKUP(D13, PACIENTES!$C$8:$F$13, 2, FALSE)</f>
        <v>PACO DE LUCIA</v>
      </c>
      <c r="F13" s="56">
        <f ca="1">VLOOKUP(D13, PACIENTES!$C$7:$F$13, 4, FALSE)</f>
        <v>13271</v>
      </c>
      <c r="G13" s="32">
        <v>2</v>
      </c>
      <c r="H13" s="50" t="str">
        <f>VLOOKUP(B13, MEDICOS!$C$7:$D$10, 2, FALSE)</f>
        <v>SUSANA LIMENEZ</v>
      </c>
      <c r="I13" s="50" t="str">
        <f>VLOOKUP(C13, CLINICAS!$B$7:$C$9, 2, FALSE)</f>
        <v>LOS CARRERA</v>
      </c>
      <c r="J13" s="50" t="str">
        <f>VLOOKUP(A13, ESPECIALIDADES!$B$7:$D$9, 2, FALSE)</f>
        <v>PEDIATRIA</v>
      </c>
      <c r="K13" s="64">
        <f>VLOOKUP(A13, ESPECIALIDADES!$B$7:$D$9, 3, FALSE)</f>
        <v>28000</v>
      </c>
    </row>
    <row r="14" spans="1:11" ht="15" thickTop="1" thickBot="1" x14ac:dyDescent="0.5">
      <c r="A14" s="54" t="s">
        <v>10</v>
      </c>
      <c r="B14" s="31">
        <v>100</v>
      </c>
      <c r="C14" s="51" t="s">
        <v>27</v>
      </c>
      <c r="D14" s="32" t="s">
        <v>33</v>
      </c>
      <c r="E14" s="50" t="str">
        <f>VLOOKUP(D14, PACIENTES!$C$8:$F$13, 2, FALSE)</f>
        <v>VICTORIA PARRA</v>
      </c>
      <c r="F14" s="56">
        <f ca="1">VLOOKUP(D14, PACIENTES!$C$7:$F$13, 4, FALSE)</f>
        <v>8634</v>
      </c>
      <c r="G14" s="32">
        <v>7</v>
      </c>
      <c r="H14" s="50" t="str">
        <f>VLOOKUP(B14, MEDICOS!$C$7:$D$10, 2, FALSE)</f>
        <v>PABLO PARADA</v>
      </c>
      <c r="I14" s="50" t="str">
        <f>VLOOKUP(C14, CLINICAS!$B$7:$C$9, 2, FALSE)</f>
        <v>VIÑA DEL MAR</v>
      </c>
      <c r="J14" s="50" t="str">
        <f>VLOOKUP(A14, ESPECIALIDADES!$B$7:$D$9, 2, FALSE)</f>
        <v>GENERAL</v>
      </c>
      <c r="K14" s="64">
        <f>VLOOKUP(A14, ESPECIALIDADES!$B$7:$D$9, 3, FALSE)</f>
        <v>22000</v>
      </c>
    </row>
    <row r="15" spans="1:11" ht="15" thickTop="1" thickBot="1" x14ac:dyDescent="0.5">
      <c r="A15" s="54" t="s">
        <v>10</v>
      </c>
      <c r="B15" s="31">
        <v>100</v>
      </c>
      <c r="C15" s="51" t="s">
        <v>11</v>
      </c>
      <c r="D15" s="32" t="s">
        <v>33</v>
      </c>
      <c r="E15" s="50" t="str">
        <f>VLOOKUP(D15, PACIENTES!$C$8:$F$13, 2, FALSE)</f>
        <v>VICTORIA PARRA</v>
      </c>
      <c r="F15" s="56">
        <f ca="1">VLOOKUP(D15, PACIENTES!$C$7:$F$13, 4, FALSE)</f>
        <v>8634</v>
      </c>
      <c r="G15" s="32">
        <v>4</v>
      </c>
      <c r="H15" s="50" t="str">
        <f>VLOOKUP(B15, MEDICOS!$C$7:$D$10, 2, FALSE)</f>
        <v>PABLO PARADA</v>
      </c>
      <c r="I15" s="50" t="str">
        <f>VLOOKUP(C15, CLINICAS!$B$7:$C$9, 2, FALSE)</f>
        <v>LOS CARRERA</v>
      </c>
      <c r="J15" s="50" t="str">
        <f>VLOOKUP(A15, ESPECIALIDADES!$B$7:$D$9, 2, FALSE)</f>
        <v>GENERAL</v>
      </c>
      <c r="K15" s="64">
        <f>VLOOKUP(A15, ESPECIALIDADES!$B$7:$D$9, 3, FALSE)</f>
        <v>22000</v>
      </c>
    </row>
    <row r="16" spans="1:11" ht="15" thickTop="1" thickBot="1" x14ac:dyDescent="0.5">
      <c r="A16" s="54" t="s">
        <v>23</v>
      </c>
      <c r="B16" s="31">
        <v>400</v>
      </c>
      <c r="C16" s="51" t="s">
        <v>25</v>
      </c>
      <c r="D16" s="32" t="s">
        <v>28</v>
      </c>
      <c r="E16" s="50" t="str">
        <f>VLOOKUP(D16, PACIENTES!$C$8:$F$13, 2, FALSE)</f>
        <v>HUGO GONZALEZ</v>
      </c>
      <c r="F16" s="56">
        <f ca="1">VLOOKUP(D16, PACIENTES!$C$7:$F$13, 4, FALSE)</f>
        <v>25549</v>
      </c>
      <c r="G16" s="32">
        <v>4</v>
      </c>
      <c r="H16" s="50" t="str">
        <f>VLOOKUP(B16, MEDICOS!$C$7:$D$10, 2, FALSE)</f>
        <v>LUISA CORDERO</v>
      </c>
      <c r="I16" s="50" t="str">
        <f>VLOOKUP(C16, CLINICAS!$B$7:$C$9, 2, FALSE)</f>
        <v>REÑACA</v>
      </c>
      <c r="J16" s="50" t="str">
        <f>VLOOKUP(A16, ESPECIALIDADES!$B$7:$D$9, 2, FALSE)</f>
        <v>TRAUMATOLOGIA</v>
      </c>
      <c r="K16" s="64">
        <f>VLOOKUP(A16, ESPECIALIDADES!$B$7:$D$9, 3, FALSE)</f>
        <v>35000</v>
      </c>
    </row>
    <row r="17" spans="1:11" ht="15" thickTop="1" thickBot="1" x14ac:dyDescent="0.5">
      <c r="A17" s="54" t="s">
        <v>10</v>
      </c>
      <c r="B17" s="31">
        <v>200</v>
      </c>
      <c r="C17" s="51" t="s">
        <v>25</v>
      </c>
      <c r="D17" s="32" t="s">
        <v>31</v>
      </c>
      <c r="E17" s="50" t="str">
        <f>VLOOKUP(D17, PACIENTES!$C$8:$F$13, 2, FALSE)</f>
        <v>CLAUDIA LIZANA</v>
      </c>
      <c r="F17" s="56">
        <f ca="1">VLOOKUP(D17, PACIENTES!$C$7:$F$13, 4, FALSE)</f>
        <v>11059</v>
      </c>
      <c r="G17" s="32">
        <v>1</v>
      </c>
      <c r="H17" s="50" t="str">
        <f>VLOOKUP(B17, MEDICOS!$C$7:$D$10, 2, FALSE)</f>
        <v>CRISTIAN BERMUDEZ</v>
      </c>
      <c r="I17" s="50" t="str">
        <f>VLOOKUP(C17, CLINICAS!$B$7:$C$9, 2, FALSE)</f>
        <v>REÑACA</v>
      </c>
      <c r="J17" s="50" t="str">
        <f>VLOOKUP(A17, ESPECIALIDADES!$B$7:$D$9, 2, FALSE)</f>
        <v>GENERAL</v>
      </c>
      <c r="K17" s="64">
        <f>VLOOKUP(A17, ESPECIALIDADES!$B$7:$D$9, 3, FALSE)</f>
        <v>22000</v>
      </c>
    </row>
    <row r="18" spans="1:11" ht="15" thickTop="1" thickBot="1" x14ac:dyDescent="0.5">
      <c r="A18" s="55" t="s">
        <v>10</v>
      </c>
      <c r="B18" s="33">
        <v>200</v>
      </c>
      <c r="C18" s="52" t="s">
        <v>11</v>
      </c>
      <c r="D18" s="34" t="s">
        <v>31</v>
      </c>
      <c r="E18" s="50" t="str">
        <f>VLOOKUP(D18, PACIENTES!$C$8:$F$13, 2, FALSE)</f>
        <v>CLAUDIA LIZANA</v>
      </c>
      <c r="F18" s="56">
        <f ca="1">VLOOKUP(D18, PACIENTES!$C$7:$F$13, 4, FALSE)</f>
        <v>11059</v>
      </c>
      <c r="G18" s="34">
        <v>6</v>
      </c>
      <c r="H18" s="50" t="str">
        <f>VLOOKUP(B18, MEDICOS!$C$7:$D$10, 2, FALSE)</f>
        <v>CRISTIAN BERMUDEZ</v>
      </c>
      <c r="I18" s="50" t="str">
        <f>VLOOKUP(C18, CLINICAS!$B$7:$C$9, 2, FALSE)</f>
        <v>LOS CARRERA</v>
      </c>
      <c r="J18" s="50" t="str">
        <f>VLOOKUP(A18, ESPECIALIDADES!$B$7:$D$9, 2, FALSE)</f>
        <v>GENERAL</v>
      </c>
      <c r="K18" s="64">
        <f>VLOOKUP(A18, ESPECIALIDADES!$B$7:$D$9, 3, FALSE)</f>
        <v>22000</v>
      </c>
    </row>
    <row r="19" spans="1:11" ht="14.65" thickBot="1" x14ac:dyDescent="0.5">
      <c r="J19" s="24" t="s">
        <v>22</v>
      </c>
      <c r="K19" s="62">
        <f>SUM(K8:K18)</f>
        <v>292000</v>
      </c>
    </row>
    <row r="20" spans="1:11" ht="15" thickTop="1" thickBot="1" x14ac:dyDescent="0.5">
      <c r="A20" s="4"/>
      <c r="B20" s="4"/>
      <c r="C20" s="4"/>
      <c r="D20" s="4"/>
      <c r="E20" s="4"/>
      <c r="F20" s="4"/>
      <c r="G20" s="4"/>
      <c r="H20" s="7" t="s">
        <v>48</v>
      </c>
      <c r="I20" s="28">
        <v>0.19</v>
      </c>
      <c r="J20" s="25" t="s">
        <v>47</v>
      </c>
      <c r="K20" s="63">
        <f>K19*I20</f>
        <v>55480</v>
      </c>
    </row>
    <row r="21" spans="1:11" ht="15" thickTop="1" thickBot="1" x14ac:dyDescent="0.5">
      <c r="A21" s="4"/>
      <c r="B21" s="4"/>
      <c r="C21" s="4"/>
      <c r="D21" s="4"/>
      <c r="E21" s="4"/>
      <c r="F21" s="4"/>
      <c r="G21" s="4"/>
      <c r="H21" s="4"/>
      <c r="I21" s="4"/>
      <c r="J21" s="26" t="s">
        <v>49</v>
      </c>
      <c r="K21" s="61">
        <f>K19+K20</f>
        <v>347480</v>
      </c>
    </row>
    <row r="22" spans="1:11" ht="14.65" thickTop="1" x14ac:dyDescent="0.45">
      <c r="A22" s="2"/>
      <c r="B22" s="2"/>
      <c r="C22" s="2"/>
      <c r="D22" s="2"/>
      <c r="E22" s="2"/>
      <c r="F22" s="2"/>
      <c r="G22" s="2"/>
      <c r="H22" s="2"/>
      <c r="J22" s="27" t="s">
        <v>35</v>
      </c>
      <c r="K22" s="60" t="str">
        <f>IF(K21&gt;700000,"MUY CARO",IF(AND(K21&gt;=500000,K21&lt;=700000),"CARO",IF(AND(K21&gt;=335000,K21&lt;=499999),"RELATIVAMENTE CARO",IF(AND(K21&gt;=85000,K21&lt;=334999),"MEDIANAMENTE CARO",IF(K21&lt;85000,"BARATO","")))))</f>
        <v>RELATIVAMENTE CARO</v>
      </c>
    </row>
    <row r="23" spans="1:11" x14ac:dyDescent="0.45">
      <c r="A23" s="2"/>
      <c r="B23" s="2"/>
      <c r="C23" s="2"/>
      <c r="D23" s="2"/>
      <c r="E23" s="2"/>
      <c r="F23" s="2"/>
      <c r="G23" s="2"/>
      <c r="H23" s="2"/>
      <c r="I23" s="2"/>
      <c r="J23" s="4"/>
      <c r="K23" s="4"/>
    </row>
    <row r="24" spans="1:11" x14ac:dyDescent="0.45">
      <c r="D24" s="2"/>
      <c r="E24" s="2"/>
      <c r="F24" s="2"/>
      <c r="G24" s="2"/>
      <c r="H24" s="2"/>
      <c r="I24" s="2"/>
      <c r="J24" s="4"/>
      <c r="K24" s="4"/>
    </row>
    <row r="25" spans="1:11" x14ac:dyDescent="0.45">
      <c r="D25" s="2"/>
      <c r="E25" s="2"/>
      <c r="F25" s="2"/>
      <c r="G25" s="2"/>
      <c r="H25" s="2"/>
      <c r="I25" s="2"/>
      <c r="J25" s="4"/>
      <c r="K25" s="4"/>
    </row>
    <row r="26" spans="1:11" ht="41.25" customHeight="1" x14ac:dyDescent="0.45">
      <c r="D26" s="2"/>
      <c r="E26" s="2"/>
      <c r="F26" s="2"/>
      <c r="G26" s="2"/>
      <c r="H26" s="2"/>
      <c r="I26" s="2"/>
      <c r="J26" s="4"/>
      <c r="K26" s="4"/>
    </row>
    <row r="27" spans="1:11" x14ac:dyDescent="0.45">
      <c r="D27" s="2"/>
      <c r="E27" s="2"/>
      <c r="F27" s="2"/>
      <c r="G27" s="2"/>
      <c r="H27" s="2"/>
      <c r="I27" s="2"/>
      <c r="J27" s="4"/>
      <c r="K27" s="4"/>
    </row>
    <row r="28" spans="1:11" ht="41.25" customHeight="1" x14ac:dyDescent="0.45">
      <c r="D28" s="2"/>
      <c r="E28" s="2"/>
      <c r="F28" s="2"/>
      <c r="G28" s="2"/>
      <c r="H28" s="2"/>
      <c r="I28" s="2"/>
      <c r="J28" s="4"/>
      <c r="K28" s="4"/>
    </row>
    <row r="29" spans="1:11" x14ac:dyDescent="0.45">
      <c r="D29" s="2"/>
      <c r="E29" s="2"/>
      <c r="F29" s="2"/>
      <c r="G29" s="2"/>
      <c r="H29" s="2"/>
      <c r="I29" s="2"/>
    </row>
    <row r="30" spans="1:11" ht="41.25" customHeight="1" x14ac:dyDescent="0.45">
      <c r="D30" s="2"/>
      <c r="E30" s="2"/>
      <c r="F30" s="2"/>
      <c r="G30" s="2"/>
      <c r="H30" s="2"/>
      <c r="I30" s="2"/>
    </row>
    <row r="31" spans="1:11" x14ac:dyDescent="0.45">
      <c r="D31" s="2"/>
      <c r="E31" s="2"/>
      <c r="F31" s="2"/>
      <c r="G31" s="2"/>
      <c r="H31" s="2"/>
      <c r="I31" s="2"/>
    </row>
    <row r="32" spans="1:11" x14ac:dyDescent="0.45">
      <c r="D32" s="2"/>
      <c r="E32" s="2"/>
      <c r="F32" s="2"/>
      <c r="G32" s="2"/>
      <c r="H32" s="2"/>
      <c r="I32" s="2"/>
    </row>
    <row r="33" spans="1:9" x14ac:dyDescent="0.45">
      <c r="A33" s="2"/>
      <c r="B33" s="2"/>
      <c r="C33" s="2"/>
      <c r="D33" s="2"/>
      <c r="E33" s="2"/>
      <c r="F33" s="2"/>
      <c r="G33" s="2"/>
      <c r="H33" s="2"/>
      <c r="I33" s="2"/>
    </row>
  </sheetData>
  <sortState xmlns:xlrd2="http://schemas.microsoft.com/office/spreadsheetml/2017/richdata2" ref="A8:K18">
    <sortCondition descending="1" ref="D8:D18"/>
  </sortState>
  <mergeCells count="2">
    <mergeCell ref="A1:B1"/>
    <mergeCell ref="A6:K6"/>
  </mergeCells>
  <dataValidations count="2">
    <dataValidation type="decimal" operator="greaterThan" allowBlank="1" showInputMessage="1" showErrorMessage="1" errorTitle="ERROR" error="VALOR DE IVA INVALIDO" promptTitle="IVA (%)" prompt="Ingrese el % de impuesto, este debe ser &gt;0 y no vacío" sqref="I20" xr:uid="{DD872637-AD02-4F39-A6D4-B88E39ED0317}">
      <formula1>0</formula1>
    </dataValidation>
    <dataValidation type="whole" showInputMessage="1" showErrorMessage="1" errorTitle="ERROR" error="ISAPRE NO VALIDA" promptTitle="Isapre" prompt="Isapres existentes 1-7" sqref="G8:G18" xr:uid="{EF2C7B5B-7DFF-47B2-BBED-2C631882D5FD}">
      <formula1>1</formula1>
      <formula2>7</formula2>
    </dataValidation>
  </dataValidations>
  <pageMargins left="0.7" right="0.7" top="0.75" bottom="0.75" header="0.3" footer="0.3"/>
  <pageSetup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Macro1">
                <anchor moveWithCells="1" sizeWithCells="1">
                  <from>
                    <xdr:col>12</xdr:col>
                    <xdr:colOff>0</xdr:colOff>
                    <xdr:row>13</xdr:row>
                    <xdr:rowOff>19050</xdr:rowOff>
                  </from>
                  <to>
                    <xdr:col>13</xdr:col>
                    <xdr:colOff>9525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Macro2">
                <anchor moveWithCells="1" sizeWithCells="1">
                  <from>
                    <xdr:col>11</xdr:col>
                    <xdr:colOff>752475</xdr:colOff>
                    <xdr:row>15</xdr:row>
                    <xdr:rowOff>0</xdr:rowOff>
                  </from>
                  <to>
                    <xdr:col>13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2D05F-A2B7-4A1E-93E9-1FC4F7FDFCCF}">
  <sheetPr codeName="Hoja9"/>
  <dimension ref="A1:J10"/>
  <sheetViews>
    <sheetView workbookViewId="0">
      <selection activeCell="A10" sqref="A10"/>
    </sheetView>
  </sheetViews>
  <sheetFormatPr baseColWidth="10" defaultRowHeight="14.25" x14ac:dyDescent="0.45"/>
  <cols>
    <col min="1" max="1" width="23.1328125" bestFit="1" customWidth="1"/>
    <col min="2" max="2" width="19.59765625" bestFit="1" customWidth="1"/>
    <col min="3" max="3" width="22.3984375" bestFit="1" customWidth="1"/>
    <col min="4" max="4" width="15.6640625" bestFit="1" customWidth="1"/>
    <col min="5" max="5" width="18.46484375" bestFit="1" customWidth="1"/>
    <col min="6" max="6" width="15.265625" bestFit="1" customWidth="1"/>
    <col min="7" max="7" width="18.06640625" bestFit="1" customWidth="1"/>
    <col min="8" max="8" width="16.86328125" bestFit="1" customWidth="1"/>
    <col min="9" max="9" width="19.6640625" bestFit="1" customWidth="1"/>
    <col min="10" max="11" width="11.33203125" bestFit="1" customWidth="1"/>
  </cols>
  <sheetData>
    <row r="1" spans="1:10" x14ac:dyDescent="0.45">
      <c r="A1" s="58" t="s">
        <v>7</v>
      </c>
      <c r="B1" t="s">
        <v>68</v>
      </c>
    </row>
    <row r="3" spans="1:10" x14ac:dyDescent="0.45">
      <c r="A3" s="58" t="s">
        <v>63</v>
      </c>
      <c r="B3" s="58" t="s">
        <v>34</v>
      </c>
      <c r="C3" s="58" t="s">
        <v>9</v>
      </c>
    </row>
    <row r="4" spans="1:10" x14ac:dyDescent="0.45">
      <c r="B4" t="s">
        <v>40</v>
      </c>
      <c r="C4" t="s">
        <v>64</v>
      </c>
      <c r="D4" t="s">
        <v>42</v>
      </c>
      <c r="E4" t="s">
        <v>65</v>
      </c>
      <c r="F4" t="s">
        <v>39</v>
      </c>
      <c r="G4" t="s">
        <v>66</v>
      </c>
      <c r="H4" t="s">
        <v>41</v>
      </c>
      <c r="I4" t="s">
        <v>67</v>
      </c>
      <c r="J4" t="s">
        <v>62</v>
      </c>
    </row>
    <row r="5" spans="1:10" x14ac:dyDescent="0.45">
      <c r="A5" s="58" t="s">
        <v>2</v>
      </c>
      <c r="B5" t="s">
        <v>18</v>
      </c>
      <c r="D5" t="s">
        <v>37</v>
      </c>
      <c r="F5" t="s">
        <v>18</v>
      </c>
      <c r="H5" t="s">
        <v>19</v>
      </c>
    </row>
    <row r="6" spans="1:10" x14ac:dyDescent="0.45">
      <c r="A6">
        <v>100</v>
      </c>
      <c r="B6" s="59"/>
      <c r="C6" s="59"/>
      <c r="D6" s="59"/>
      <c r="E6" s="59"/>
      <c r="F6" s="59">
        <v>22000</v>
      </c>
      <c r="G6" s="59">
        <v>22000</v>
      </c>
      <c r="H6" s="59"/>
      <c r="I6" s="59"/>
      <c r="J6" s="59">
        <v>22000</v>
      </c>
    </row>
    <row r="7" spans="1:10" x14ac:dyDescent="0.45">
      <c r="A7">
        <v>200</v>
      </c>
      <c r="B7" s="59">
        <v>66000</v>
      </c>
      <c r="C7" s="59">
        <v>66000</v>
      </c>
      <c r="D7" s="59"/>
      <c r="E7" s="59"/>
      <c r="F7" s="59"/>
      <c r="G7" s="59"/>
      <c r="H7" s="59"/>
      <c r="I7" s="59"/>
      <c r="J7" s="59">
        <v>66000</v>
      </c>
    </row>
    <row r="8" spans="1:10" x14ac:dyDescent="0.45">
      <c r="A8">
        <v>300</v>
      </c>
      <c r="B8" s="59"/>
      <c r="C8" s="59"/>
      <c r="D8" s="59"/>
      <c r="E8" s="59"/>
      <c r="F8" s="59"/>
      <c r="G8" s="59"/>
      <c r="H8" s="59">
        <v>28000</v>
      </c>
      <c r="I8" s="59">
        <v>28000</v>
      </c>
      <c r="J8" s="59">
        <v>28000</v>
      </c>
    </row>
    <row r="9" spans="1:10" x14ac:dyDescent="0.45">
      <c r="A9">
        <v>400</v>
      </c>
      <c r="B9" s="59"/>
      <c r="C9" s="59"/>
      <c r="D9" s="59">
        <v>35000</v>
      </c>
      <c r="E9" s="59">
        <v>35000</v>
      </c>
      <c r="F9" s="59"/>
      <c r="G9" s="59"/>
      <c r="H9" s="59"/>
      <c r="I9" s="59"/>
      <c r="J9" s="59">
        <v>35000</v>
      </c>
    </row>
    <row r="10" spans="1:10" x14ac:dyDescent="0.45">
      <c r="A10" t="s">
        <v>62</v>
      </c>
      <c r="B10" s="59">
        <v>66000</v>
      </c>
      <c r="C10" s="59">
        <v>66000</v>
      </c>
      <c r="D10" s="59">
        <v>35000</v>
      </c>
      <c r="E10" s="59">
        <v>35000</v>
      </c>
      <c r="F10" s="59">
        <v>22000</v>
      </c>
      <c r="G10" s="59">
        <v>22000</v>
      </c>
      <c r="H10" s="59">
        <v>28000</v>
      </c>
      <c r="I10" s="59">
        <v>28000</v>
      </c>
      <c r="J10" s="59">
        <v>151000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Gráficos</vt:lpstr>
      </vt:variant>
      <vt:variant>
        <vt:i4>1</vt:i4>
      </vt:variant>
    </vt:vector>
  </HeadingPairs>
  <TitlesOfParts>
    <vt:vector size="9" baseType="lpstr">
      <vt:lpstr>Identificación</vt:lpstr>
      <vt:lpstr>PLANILLA</vt:lpstr>
      <vt:lpstr>ESPECIALIDADES</vt:lpstr>
      <vt:lpstr>PACIENTES</vt:lpstr>
      <vt:lpstr>CLINICAS</vt:lpstr>
      <vt:lpstr>MEDICOS</vt:lpstr>
      <vt:lpstr>ORDEN</vt:lpstr>
      <vt:lpstr>TABLA DINAMICA</vt:lpstr>
      <vt:lpstr>GRAFICO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</dc:creator>
  <cp:lastModifiedBy>Adolfo Rojas</cp:lastModifiedBy>
  <dcterms:created xsi:type="dcterms:W3CDTF">2013-09-04T05:37:49Z</dcterms:created>
  <dcterms:modified xsi:type="dcterms:W3CDTF">2025-05-28T02:46:35Z</dcterms:modified>
</cp:coreProperties>
</file>