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d.docs.live.net/BB481FCA2D312E75/Desktop/CC/information_retrieval/C1/"/>
    </mc:Choice>
  </mc:AlternateContent>
  <xr:revisionPtr revIDLastSave="42" documentId="8_{0154B327-1755-444A-BD58-032A6057CC25}" xr6:coauthVersionLast="47" xr6:coauthVersionMax="47" xr10:uidLastSave="{83BA6FCF-957A-4BE8-83C7-C2A0833EABE8}"/>
  <bookViews>
    <workbookView xWindow="-98" yWindow="-98" windowWidth="21795" windowHeight="13695" activeTab="3" xr2:uid="{C99AD2E5-3CB7-4E4B-AC4E-940848AFA3E3}"/>
  </bookViews>
  <sheets>
    <sheet name="Semana 1" sheetId="1" r:id="rId1"/>
    <sheet name="Semana 2" sheetId="2" r:id="rId2"/>
    <sheet name="Semana 3" sheetId="3" r:id="rId3"/>
    <sheet name="Semana 4" sheetId="4" r:id="rId4"/>
  </sheets>
  <functionGroups builtInGroupCount="19"/>
  <definedNames>
    <definedName name="_xlpm.x" hidden="1" xlm="1">#NAME?</definedName>
    <definedName name="_xlpm.y" hidden="1" xlm="1">#NAME?</definedName>
    <definedName name="_xlpm.z" hidden="1" xlm="1">#NAME?</definedName>
    <definedName name="CONVERSOR.GRADOS" comment="Convierte a grados y ajusta al intervalo [-90, 90]">IF(DEGREES(ATAN2(x,y))&gt;90,DEGREES(ATAN2(x,y))-180,IF(DEGREES(ATAN2(x,y))&lt;-90,DEGREES(ATAN2(x,y))+180,DEGREES(ATAN2(x,y))))</definedName>
    <definedName name="DistanciaL2" comment="Calcula la distancia eucliniada de un vector en R^3" localSheetId="3">_xlfn.LAMBDA(_xlpm.x,_xlpm.y,_xlpm.z, SQRT(_xlpm.x^2+_xlpm.y^2+_xlpm.z^2))</definedName>
  </definedNames>
  <calcPr calcId="191029"/>
  <extLst>
    <ext xmlns:x14="http://schemas.microsoft.com/office/spreadsheetml/2009/9/main" uri="{8193D73E-4604-4355-AFF4-8A2333D13BE4}">
      <x14:definedNames>
        <x14:definedName name="AnguloAjustado">
          <x14:argumentDescriptions count="2">
            <x14:argumentDescription index="0">Componente X</x14:argumentDescription>
            <x14:argumentDescription index="1">Componente Y</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2" i="4" l="1"/>
  <c r="E31" i="4" a="1"/>
  <c r="E31" i="4" s="1"/>
  <c r="C31" i="4" a="1"/>
  <c r="C31" i="4" s="1"/>
  <c r="G29" i="4" a="1"/>
  <c r="G29" i="4" s="1"/>
  <c r="E29" i="4" a="1"/>
  <c r="E29" i="4" s="1"/>
  <c r="C29" i="4" a="1"/>
  <c r="C29" i="4" s="1"/>
  <c r="G27" i="4" a="1"/>
  <c r="G27" i="4" s="1"/>
  <c r="E27" i="4" a="1"/>
  <c r="E27" i="4" s="1"/>
  <c r="G31" i="4" a="1"/>
  <c r="G31" i="4" s="1"/>
  <c r="C27" i="4" a="1"/>
  <c r="C27" i="4" s="1"/>
  <c r="L32" i="4"/>
  <c r="L31" i="4"/>
  <c r="L30" i="4"/>
  <c r="L28" i="4"/>
  <c r="L27" i="4"/>
  <c r="L26" i="4"/>
  <c r="BC2" i="2"/>
  <c r="Z3" i="3"/>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134" i="3"/>
  <c r="Z135" i="3"/>
  <c r="Z136" i="3"/>
  <c r="Z137" i="3"/>
  <c r="Z138" i="3"/>
  <c r="Z139" i="3"/>
  <c r="Z140" i="3"/>
  <c r="Z141" i="3"/>
  <c r="Z142" i="3"/>
  <c r="Z143" i="3"/>
  <c r="Z144" i="3"/>
  <c r="Z145" i="3"/>
  <c r="Z146" i="3"/>
  <c r="Z147" i="3"/>
  <c r="Z148" i="3"/>
  <c r="Z149" i="3"/>
  <c r="Z150" i="3"/>
  <c r="Z151" i="3"/>
  <c r="Z152" i="3"/>
  <c r="Z153" i="3"/>
  <c r="Z154" i="3"/>
  <c r="Z155" i="3"/>
  <c r="Z156" i="3"/>
  <c r="Z157" i="3"/>
  <c r="Z158" i="3"/>
  <c r="Z159" i="3"/>
  <c r="Z160" i="3"/>
  <c r="Z161" i="3"/>
  <c r="Z162" i="3"/>
  <c r="Z163" i="3"/>
  <c r="Z164" i="3"/>
  <c r="Z165" i="3"/>
  <c r="Z166" i="3"/>
  <c r="Z167" i="3"/>
  <c r="Z168" i="3"/>
  <c r="Z169" i="3"/>
  <c r="Z170" i="3"/>
  <c r="Z171" i="3"/>
  <c r="Z172" i="3"/>
  <c r="Z173" i="3"/>
  <c r="Z174" i="3"/>
  <c r="Z175" i="3"/>
  <c r="Z176" i="3"/>
  <c r="Z177" i="3"/>
  <c r="Z178" i="3"/>
  <c r="Z179" i="3"/>
  <c r="Z180" i="3"/>
  <c r="Z181" i="3"/>
  <c r="Z182" i="3"/>
  <c r="Z183" i="3"/>
  <c r="Z184" i="3"/>
  <c r="Z185" i="3"/>
  <c r="Z186" i="3"/>
  <c r="Z187" i="3"/>
  <c r="Z188" i="3"/>
  <c r="Z189" i="3"/>
  <c r="Z190" i="3"/>
  <c r="Z191" i="3"/>
  <c r="Z192" i="3"/>
  <c r="Z193" i="3"/>
  <c r="Z194" i="3"/>
  <c r="Z195" i="3"/>
  <c r="Z196" i="3"/>
  <c r="Z197" i="3"/>
  <c r="Z198" i="3"/>
  <c r="Z199" i="3"/>
  <c r="Z200" i="3"/>
  <c r="Z201" i="3"/>
  <c r="Z202" i="3"/>
  <c r="Z203" i="3"/>
  <c r="Z204" i="3"/>
  <c r="Z205" i="3"/>
  <c r="Z206" i="3"/>
  <c r="Z207" i="3"/>
  <c r="Z208" i="3"/>
  <c r="Z209" i="3"/>
  <c r="Z210" i="3"/>
  <c r="Z211" i="3"/>
  <c r="Z212" i="3"/>
  <c r="Z213" i="3"/>
  <c r="Z214" i="3"/>
  <c r="Z215" i="3"/>
  <c r="Z216" i="3"/>
  <c r="Z217" i="3"/>
  <c r="Z218" i="3"/>
  <c r="Z219" i="3"/>
  <c r="Z220" i="3"/>
  <c r="Z221" i="3"/>
  <c r="Z222" i="3"/>
  <c r="Z223" i="3"/>
  <c r="Z224" i="3"/>
  <c r="Z225" i="3"/>
  <c r="Z226" i="3"/>
  <c r="Z227" i="3"/>
  <c r="Z228" i="3"/>
  <c r="Z229" i="3"/>
  <c r="Z230" i="3"/>
  <c r="Z231" i="3"/>
  <c r="Z232" i="3"/>
  <c r="Z233" i="3"/>
  <c r="Z234" i="3"/>
  <c r="Z235" i="3"/>
  <c r="Z236" i="3"/>
  <c r="Z237" i="3"/>
  <c r="Z238" i="3"/>
  <c r="Z239" i="3"/>
  <c r="Z240" i="3"/>
  <c r="Z241" i="3"/>
  <c r="Z242" i="3"/>
  <c r="Z243" i="3"/>
  <c r="Z244" i="3"/>
  <c r="Z245" i="3"/>
  <c r="Z246" i="3"/>
  <c r="Z247" i="3"/>
  <c r="Z248" i="3"/>
  <c r="Z249" i="3"/>
  <c r="Z250" i="3"/>
  <c r="Z251" i="3"/>
  <c r="Z252" i="3"/>
  <c r="Z253" i="3"/>
  <c r="Z254" i="3"/>
  <c r="Z255" i="3"/>
  <c r="Z256" i="3"/>
  <c r="Z257" i="3"/>
  <c r="Z2" i="3"/>
  <c r="V10" i="3"/>
  <c r="V11" i="3"/>
  <c r="W11" i="3"/>
  <c r="W10" i="3"/>
  <c r="V9" i="3"/>
  <c r="W9" i="3"/>
  <c r="U10" i="3"/>
  <c r="U11" i="3"/>
  <c r="U9" i="3"/>
  <c r="R10" i="3"/>
  <c r="R11" i="3"/>
  <c r="S10" i="3"/>
  <c r="S11" i="3"/>
  <c r="R9" i="3"/>
  <c r="S9" i="3"/>
  <c r="Q10" i="3"/>
  <c r="Q11" i="3"/>
  <c r="Q9" i="3"/>
  <c r="N10" i="3"/>
  <c r="M10" i="3"/>
  <c r="O10" i="3"/>
  <c r="M11" i="3"/>
  <c r="N11" i="3"/>
  <c r="O11" i="3"/>
  <c r="N9" i="3"/>
  <c r="O9" i="3"/>
  <c r="M9" i="3"/>
  <c r="AP91" i="2"/>
  <c r="AO92" i="2"/>
  <c r="AM92" i="2"/>
  <c r="AL91" i="2"/>
  <c r="AV2" i="2"/>
  <c r="AW2" i="2"/>
  <c r="AX2" i="2"/>
  <c r="AY2" i="2"/>
  <c r="AV3" i="2"/>
  <c r="AW3" i="2"/>
  <c r="AX3" i="2"/>
  <c r="AY3" i="2"/>
  <c r="AV4" i="2"/>
  <c r="AW4" i="2"/>
  <c r="AX4" i="2"/>
  <c r="AY4" i="2"/>
  <c r="AV5" i="2"/>
  <c r="AW5" i="2"/>
  <c r="AX5" i="2"/>
  <c r="AY5" i="2"/>
  <c r="AV6" i="2"/>
  <c r="AW6" i="2"/>
  <c r="AX6" i="2"/>
  <c r="AY6" i="2"/>
  <c r="AV7" i="2"/>
  <c r="AW7" i="2"/>
  <c r="AX7" i="2"/>
  <c r="AY7" i="2"/>
  <c r="AV8" i="2"/>
  <c r="AW8" i="2"/>
  <c r="AX8" i="2"/>
  <c r="AY8" i="2"/>
  <c r="AV9" i="2"/>
  <c r="AW9" i="2"/>
  <c r="AX9" i="2"/>
  <c r="AY9" i="2"/>
  <c r="AV10" i="2"/>
  <c r="AW10" i="2"/>
  <c r="AX10" i="2"/>
  <c r="AY10" i="2"/>
  <c r="AV11" i="2"/>
  <c r="AW11" i="2"/>
  <c r="AX11" i="2"/>
  <c r="AY11" i="2"/>
  <c r="AV12" i="2"/>
  <c r="AW12" i="2"/>
  <c r="AX12" i="2"/>
  <c r="AY12" i="2"/>
  <c r="AV13" i="2"/>
  <c r="AW13" i="2"/>
  <c r="AX13" i="2"/>
  <c r="AY13" i="2"/>
  <c r="AV14" i="2"/>
  <c r="AW14" i="2"/>
  <c r="AX14" i="2"/>
  <c r="AY14" i="2"/>
  <c r="AV15" i="2"/>
  <c r="AW15" i="2"/>
  <c r="AX15" i="2"/>
  <c r="AY15" i="2"/>
  <c r="AV16" i="2"/>
  <c r="AW16" i="2"/>
  <c r="AX16" i="2"/>
  <c r="AY16" i="2"/>
  <c r="AV17" i="2"/>
  <c r="AW17" i="2"/>
  <c r="AX17" i="2"/>
  <c r="AY17" i="2"/>
  <c r="AV18" i="2"/>
  <c r="AW18" i="2"/>
  <c r="AX18" i="2"/>
  <c r="AY18" i="2"/>
  <c r="AV19" i="2"/>
  <c r="AW19" i="2"/>
  <c r="AX19" i="2"/>
  <c r="AY19" i="2"/>
  <c r="AV20" i="2"/>
  <c r="AW20" i="2"/>
  <c r="AX20" i="2"/>
  <c r="AY20" i="2"/>
  <c r="AV21" i="2"/>
  <c r="AW21" i="2"/>
  <c r="AX21" i="2"/>
  <c r="AY21" i="2"/>
  <c r="AV22" i="2"/>
  <c r="AW22" i="2"/>
  <c r="AX22" i="2"/>
  <c r="AY22" i="2"/>
  <c r="AV23" i="2"/>
  <c r="AW23" i="2"/>
  <c r="AX23" i="2"/>
  <c r="AY23" i="2"/>
  <c r="AV24" i="2"/>
  <c r="AW24" i="2"/>
  <c r="AX24" i="2"/>
  <c r="AY24" i="2"/>
  <c r="AV25" i="2"/>
  <c r="AW25" i="2"/>
  <c r="AX25" i="2"/>
  <c r="AY25" i="2"/>
  <c r="AV26" i="2"/>
  <c r="AW26" i="2"/>
  <c r="AX26" i="2"/>
  <c r="AY26" i="2"/>
  <c r="AV27" i="2"/>
  <c r="AW27" i="2"/>
  <c r="AX27" i="2"/>
  <c r="AY27" i="2"/>
  <c r="AV28" i="2"/>
  <c r="AW28" i="2"/>
  <c r="AX28" i="2"/>
  <c r="AY28" i="2"/>
  <c r="AV29" i="2"/>
  <c r="AW29" i="2"/>
  <c r="AX29" i="2"/>
  <c r="AY29" i="2"/>
  <c r="AV30" i="2"/>
  <c r="AW30" i="2"/>
  <c r="AX30" i="2"/>
  <c r="AY30" i="2"/>
  <c r="AV31" i="2"/>
  <c r="AW31" i="2"/>
  <c r="AX31" i="2"/>
  <c r="AY31" i="2"/>
  <c r="AV32" i="2"/>
  <c r="AW32" i="2"/>
  <c r="AX32" i="2"/>
  <c r="AY32" i="2"/>
  <c r="AV33" i="2"/>
  <c r="AW33" i="2"/>
  <c r="AX33" i="2"/>
  <c r="AY33" i="2"/>
  <c r="AV34" i="2"/>
  <c r="AW34" i="2"/>
  <c r="AX34" i="2"/>
  <c r="AY34" i="2"/>
  <c r="AV35" i="2"/>
  <c r="AW35" i="2"/>
  <c r="AX35" i="2"/>
  <c r="AY35" i="2"/>
  <c r="AV36" i="2"/>
  <c r="AW36" i="2"/>
  <c r="AX36" i="2"/>
  <c r="AY36" i="2"/>
  <c r="AV37" i="2"/>
  <c r="AW37" i="2"/>
  <c r="AX37" i="2"/>
  <c r="AY37" i="2"/>
  <c r="AV38" i="2"/>
  <c r="AW38" i="2"/>
  <c r="AX38" i="2"/>
  <c r="AY38" i="2"/>
  <c r="AV39" i="2"/>
  <c r="AW39" i="2"/>
  <c r="AX39" i="2"/>
  <c r="AY39" i="2"/>
  <c r="AV40" i="2"/>
  <c r="AW40" i="2"/>
  <c r="AX40" i="2"/>
  <c r="AY40" i="2"/>
  <c r="AV41" i="2"/>
  <c r="AW41" i="2"/>
  <c r="AX41" i="2"/>
  <c r="AY41" i="2"/>
  <c r="AV42" i="2"/>
  <c r="AW42" i="2"/>
  <c r="AX42" i="2"/>
  <c r="AY42" i="2"/>
  <c r="AV43" i="2"/>
  <c r="AW43" i="2"/>
  <c r="AX43" i="2"/>
  <c r="AY43" i="2"/>
  <c r="AV44" i="2"/>
  <c r="AW44" i="2"/>
  <c r="AX44" i="2"/>
  <c r="AY44" i="2"/>
  <c r="AV45" i="2"/>
  <c r="AW45" i="2"/>
  <c r="AX45" i="2"/>
  <c r="AY45" i="2"/>
  <c r="AV46" i="2"/>
  <c r="AW46" i="2"/>
  <c r="AX46" i="2"/>
  <c r="AY46" i="2"/>
  <c r="AV47" i="2"/>
  <c r="AW47" i="2"/>
  <c r="AX47" i="2"/>
  <c r="AY47" i="2"/>
  <c r="AV48" i="2"/>
  <c r="AW48" i="2"/>
  <c r="AX48" i="2"/>
  <c r="AY48" i="2"/>
  <c r="AV49" i="2"/>
  <c r="AW49" i="2"/>
  <c r="AX49" i="2"/>
  <c r="AY49" i="2"/>
  <c r="AB95" i="2" a="1"/>
  <c r="X95" i="2" a="1"/>
  <c r="V89" i="2" a="1"/>
  <c r="T93" i="2" a="1"/>
  <c r="V92" i="2" a="1"/>
  <c r="AB87" i="2" a="1"/>
  <c r="AC105" i="2" a="1"/>
  <c r="U101" i="2" a="1"/>
  <c r="T101" i="2" a="1"/>
  <c r="AC102" i="2" a="1"/>
  <c r="AC108" i="2" a="1"/>
  <c r="U104" i="2" a="1"/>
  <c r="Z100" i="2" a="1"/>
  <c r="T99" i="2" a="1"/>
  <c r="W104" i="2" a="1"/>
  <c r="T107" i="2" a="1"/>
  <c r="AD101" i="2" a="1"/>
  <c r="AA100" i="2" a="1"/>
  <c r="X102" i="2" a="1"/>
  <c r="X92" i="2" a="1"/>
  <c r="X108" i="2" a="1"/>
  <c r="T100" i="2" a="1"/>
  <c r="W91" i="2" a="1"/>
  <c r="Z105" i="2" a="1"/>
  <c r="V96" i="2" a="1"/>
  <c r="Y95" i="2" a="1"/>
  <c r="AB93" i="2" a="1"/>
  <c r="Y89" i="2" a="1"/>
  <c r="T88" i="2" a="1"/>
  <c r="AC87" i="2" a="1"/>
  <c r="Z106" i="2" a="1"/>
  <c r="T104" i="2" a="1"/>
  <c r="V103" i="2" a="1"/>
  <c r="Z109" i="2" a="1"/>
  <c r="W108" i="2" a="1"/>
  <c r="AD104" i="2" a="1"/>
  <c r="X101" i="2" a="1"/>
  <c r="Y108" i="2" a="1"/>
  <c r="AB89" i="2" a="1"/>
  <c r="AD107" i="2" a="1"/>
  <c r="AC89" i="2" a="1"/>
  <c r="V100" i="2" a="1"/>
  <c r="Z91" i="2" a="1"/>
  <c r="Z107" i="2" a="1"/>
  <c r="W96" i="2" a="1"/>
  <c r="Y88" i="2" a="1"/>
  <c r="Z88" i="2" a="1"/>
  <c r="U91" i="2" a="1"/>
  <c r="AB88" i="2" a="1"/>
  <c r="Y87" i="2" a="1"/>
  <c r="W107" i="2" a="1"/>
  <c r="AA107" i="2" a="1"/>
  <c r="U106" i="2" a="1"/>
  <c r="Y106" i="2" a="1"/>
  <c r="AD100" i="2" a="1"/>
  <c r="W101" i="2" a="1"/>
  <c r="W109" i="2" a="1"/>
  <c r="W89" i="2" a="1"/>
  <c r="X89" i="2" a="1"/>
  <c r="AC91" i="2" a="1"/>
  <c r="Z89" i="2" a="1"/>
  <c r="U87" i="2" a="1"/>
  <c r="X109" i="2" a="1"/>
  <c r="V107" i="2" a="1"/>
  <c r="Z92" i="2" a="1"/>
  <c r="AB101" i="2" a="1"/>
  <c r="W92" i="2" a="1"/>
  <c r="W102" i="2" a="1"/>
  <c r="U93" i="2" a="1"/>
  <c r="AA102" i="2" a="1"/>
  <c r="T96" i="2" a="1"/>
  <c r="W105" i="2" a="1"/>
  <c r="W94" i="2" a="1"/>
  <c r="T94" i="2" a="1"/>
  <c r="U95" i="2" a="1"/>
  <c r="U90" i="2" a="1"/>
  <c r="V90" i="2" a="1"/>
  <c r="W93" i="2" a="1"/>
  <c r="X90" i="2" a="1"/>
  <c r="V87" i="2" a="1"/>
  <c r="AB108" i="2" a="1"/>
  <c r="X103" i="2" a="1"/>
  <c r="AC101" i="2" a="1"/>
  <c r="U100" i="2" a="1"/>
  <c r="AB106" i="2" a="1"/>
  <c r="AC107" i="2" a="1"/>
  <c r="Z103" i="2" a="1"/>
  <c r="AC95" i="2" a="1"/>
  <c r="AC90" i="2" a="1"/>
  <c r="T91" i="2" a="1"/>
  <c r="Y90" i="2" a="1"/>
  <c r="X87" i="2" a="1"/>
  <c r="Y109" i="2" a="1"/>
  <c r="W103" i="2" a="1"/>
  <c r="AA91" i="2" a="1"/>
  <c r="Z101" i="2" a="1"/>
  <c r="X93" i="2" a="1"/>
  <c r="AC99" i="2" a="1"/>
  <c r="AA89" i="2" a="1"/>
  <c r="T103" i="2" a="1"/>
  <c r="Z90" i="2" a="1"/>
  <c r="V99" i="2" a="1"/>
  <c r="AB94" i="2" a="1"/>
  <c r="V91" i="2" a="1"/>
  <c r="AC100" i="2" a="1"/>
  <c r="Y93" i="2" a="1"/>
  <c r="V106" i="2" a="1"/>
  <c r="U99" i="2" a="1"/>
  <c r="U103" i="2" a="1"/>
  <c r="V95" i="2" a="1"/>
  <c r="AC103" i="2" a="1"/>
  <c r="AC93" i="2" a="1"/>
  <c r="AB103" i="2" a="1"/>
  <c r="Z96" i="2" a="1"/>
  <c r="AB96" i="2" a="1"/>
  <c r="V93" i="2" a="1"/>
  <c r="AA92" i="2" a="1"/>
  <c r="AA88" i="2" a="1"/>
  <c r="AB92" i="2" a="1"/>
  <c r="Y101" i="2" a="1"/>
  <c r="Y107" i="2" a="1"/>
  <c r="U102" i="2" a="1"/>
  <c r="AB107" i="2" a="1"/>
  <c r="Y104" i="2" a="1"/>
  <c r="AB109" i="2" a="1"/>
  <c r="X100" i="2" a="1"/>
  <c r="AA99" i="2" a="1"/>
  <c r="AA94" i="2" a="1"/>
  <c r="Y94" i="2" a="1"/>
  <c r="AC88" i="2" a="1"/>
  <c r="V88" i="2" a="1"/>
  <c r="W90" i="2" a="1"/>
  <c r="AA90" i="2" a="1"/>
  <c r="V102" i="2" a="1"/>
  <c r="AA109" i="2" a="1"/>
  <c r="T105" i="2" a="1"/>
  <c r="AD109" i="2" a="1"/>
  <c r="V105" i="2" a="1"/>
  <c r="Z102" i="2" a="1"/>
  <c r="Y105" i="2" a="1"/>
  <c r="AB99" i="2" a="1"/>
  <c r="U94" i="2" a="1"/>
  <c r="W95" i="2" a="1"/>
  <c r="T89" i="2" a="1"/>
  <c r="T92" i="2" a="1"/>
  <c r="Y92" i="2" a="1"/>
  <c r="AA93" i="2" a="1"/>
  <c r="AD102" i="2" a="1"/>
  <c r="W100" i="2" a="1"/>
  <c r="AA108" i="2" a="1"/>
  <c r="T102" i="2" a="1"/>
  <c r="AD105" i="2" a="1"/>
  <c r="AB104" i="2" a="1"/>
  <c r="U109" i="2" a="1"/>
  <c r="Y99" i="2" a="1"/>
  <c r="AA95" i="2" a="1"/>
  <c r="U96" i="2" a="1"/>
  <c r="X91" i="2" a="1"/>
  <c r="Y91" i="2" a="1"/>
  <c r="W88" i="2" a="1"/>
  <c r="T90" i="2" a="1"/>
  <c r="AA103" i="2" a="1"/>
  <c r="AD103" i="2" a="1"/>
  <c r="AA101" i="2" a="1"/>
  <c r="Y103" i="2" a="1"/>
  <c r="AA106" i="2" a="1"/>
  <c r="AD106" i="2" a="1"/>
  <c r="V101" i="2" a="1"/>
  <c r="W99" i="2" a="1"/>
  <c r="Y96" i="2" a="1"/>
  <c r="AC96" i="2" a="1"/>
  <c r="Z93" i="2" a="1"/>
  <c r="U92" i="2" a="1"/>
  <c r="AC92" i="2" a="1"/>
  <c r="Z87" i="2" a="1"/>
  <c r="X104" i="2" a="1"/>
  <c r="AC106" i="2" a="1"/>
  <c r="T106" i="2" a="1"/>
  <c r="X106" i="2" a="1"/>
  <c r="X107" i="2" a="1"/>
  <c r="AC109" i="2" a="1"/>
  <c r="AC104" i="2" a="1"/>
  <c r="X99" i="2" a="1"/>
  <c r="T95" i="2" a="1"/>
  <c r="Z94" i="2" a="1"/>
  <c r="U89" i="2" a="1"/>
  <c r="AB90" i="2" a="1"/>
  <c r="X88" i="2" a="1"/>
  <c r="AA87" i="2" a="1"/>
  <c r="U105" i="2" a="1"/>
  <c r="T109" i="2" a="1"/>
  <c r="AD108" i="2" a="1"/>
  <c r="Z108" i="2" a="1"/>
  <c r="U108" i="2" a="1"/>
  <c r="Y100" i="2" a="1"/>
  <c r="V109" i="2" a="1"/>
  <c r="Z99" i="2" a="1"/>
  <c r="AA105" i="2" a="1"/>
  <c r="T108" i="2" a="1"/>
  <c r="Z104" i="2" a="1"/>
  <c r="W106" i="2" a="1"/>
  <c r="V108" i="2" a="1"/>
  <c r="Z95" i="2" a="1"/>
  <c r="AA96" i="2" a="1"/>
  <c r="AB91" i="2" a="1"/>
  <c r="W87" i="2" a="1"/>
  <c r="AB105" i="2" a="1"/>
  <c r="X96" i="2" a="1"/>
  <c r="X94" i="2" a="1"/>
  <c r="T87" i="2" a="1"/>
  <c r="AB102" i="2" a="1"/>
  <c r="Y102" i="2" a="1"/>
  <c r="AC94" i="2" a="1"/>
  <c r="U88" i="2" a="1"/>
  <c r="V104" i="2" a="1"/>
  <c r="X105" i="2" a="1"/>
  <c r="AD99" i="2" a="1"/>
  <c r="V94" i="2" a="1"/>
  <c r="AB100" i="2" a="1"/>
  <c r="U107" i="2" a="1"/>
  <c r="AA104" i="2" a="1"/>
  <c r="L2" i="4" a="1"/>
  <c r="L3" i="4" a="1"/>
  <c r="T3" i="4" a="1"/>
  <c r="S4" i="4" a="1"/>
  <c r="R5" i="4" a="1"/>
  <c r="Q6" i="4" a="1"/>
  <c r="P7" i="4" a="1"/>
  <c r="P3" i="4" a="1"/>
  <c r="Q3" i="4" a="1"/>
  <c r="Q4" i="4" a="1"/>
  <c r="S3" i="4" a="1"/>
  <c r="T7" i="4" a="1"/>
  <c r="P4" i="4" a="1"/>
  <c r="R3" i="4" a="1"/>
  <c r="O7" i="4" a="1"/>
  <c r="M3" i="4" a="1"/>
  <c r="L4" i="4" a="1"/>
  <c r="T4" i="4" a="1"/>
  <c r="S5" i="4" a="1"/>
  <c r="R6" i="4" a="1"/>
  <c r="Q7" i="4" a="1"/>
  <c r="M6" i="4" a="1"/>
  <c r="N6" i="4" a="1"/>
  <c r="N7" i="4" a="1"/>
  <c r="P6" i="4" a="1"/>
  <c r="N4" i="4" a="1"/>
  <c r="N5" i="4" a="1"/>
  <c r="R4" i="4" a="1"/>
  <c r="N3" i="4" a="1"/>
  <c r="M4" i="4" a="1"/>
  <c r="L5" i="4" a="1"/>
  <c r="T5" i="4" a="1"/>
  <c r="S6" i="4" a="1"/>
  <c r="R7" i="4" a="1"/>
  <c r="O4" i="4" a="1"/>
  <c r="O5" i="4" a="1"/>
  <c r="P5" i="4" a="1"/>
  <c r="Q5" i="4" a="1"/>
  <c r="O3" i="4" a="1"/>
  <c r="M5" i="4" a="1"/>
  <c r="L6" i="4" a="1"/>
  <c r="T6" i="4" a="1"/>
  <c r="S7" i="4" a="1"/>
  <c r="L7" i="4" a="1"/>
  <c r="M7" i="4" a="1"/>
  <c r="O6" i="4" a="1"/>
  <c r="M2" i="4" a="1"/>
  <c r="N2" i="4" a="1"/>
  <c r="Q2" i="4" a="1"/>
  <c r="R2" i="4" a="1"/>
  <c r="S2" i="4" a="1"/>
  <c r="T2" i="4" a="1"/>
  <c r="O2" i="4" a="1"/>
  <c r="P2" i="4" a="1"/>
  <c r="L2" i="4" l="1"/>
  <c r="O6" i="4"/>
  <c r="M7" i="4"/>
  <c r="L7" i="4"/>
  <c r="S7" i="4"/>
  <c r="T6" i="4"/>
  <c r="L6" i="4"/>
  <c r="M5" i="4"/>
  <c r="O3" i="4"/>
  <c r="Q5" i="4"/>
  <c r="P5" i="4"/>
  <c r="O5" i="4"/>
  <c r="O4" i="4"/>
  <c r="R7" i="4"/>
  <c r="S6" i="4"/>
  <c r="T5" i="4"/>
  <c r="L5" i="4"/>
  <c r="M4" i="4"/>
  <c r="N3" i="4"/>
  <c r="R4" i="4"/>
  <c r="N5" i="4"/>
  <c r="N4" i="4"/>
  <c r="P6" i="4"/>
  <c r="N7" i="4"/>
  <c r="N6" i="4"/>
  <c r="M6" i="4"/>
  <c r="Q7" i="4"/>
  <c r="R6" i="4"/>
  <c r="S5" i="4"/>
  <c r="T4" i="4"/>
  <c r="L4" i="4"/>
  <c r="M3" i="4"/>
  <c r="O7" i="4"/>
  <c r="R3" i="4"/>
  <c r="P4" i="4"/>
  <c r="T7" i="4"/>
  <c r="S3" i="4"/>
  <c r="Q4" i="4"/>
  <c r="Q3" i="4"/>
  <c r="P3" i="4"/>
  <c r="P7" i="4"/>
  <c r="Q6" i="4"/>
  <c r="R5" i="4"/>
  <c r="S4" i="4"/>
  <c r="T3" i="4"/>
  <c r="L3" i="4"/>
  <c r="P2" i="4"/>
  <c r="O2" i="4"/>
  <c r="T2" i="4"/>
  <c r="S2" i="4"/>
  <c r="R2" i="4"/>
  <c r="Q2" i="4"/>
  <c r="N2" i="4"/>
  <c r="M2" i="4"/>
  <c r="Y95" i="2"/>
  <c r="X95" i="2"/>
  <c r="Z94" i="2"/>
  <c r="AC96" i="2"/>
  <c r="U96" i="2"/>
  <c r="W95" i="2"/>
  <c r="Y94" i="2"/>
  <c r="AB96" i="2"/>
  <c r="T96" i="2"/>
  <c r="V95" i="2"/>
  <c r="X94" i="2"/>
  <c r="AA96" i="2"/>
  <c r="AC95" i="2"/>
  <c r="U95" i="2"/>
  <c r="W94" i="2"/>
  <c r="W96" i="2"/>
  <c r="V96" i="2"/>
  <c r="AB95" i="2"/>
  <c r="T95" i="2"/>
  <c r="Y96" i="2"/>
  <c r="AA95" i="2"/>
  <c r="U94" i="2"/>
  <c r="AA94" i="2"/>
  <c r="Z96" i="2"/>
  <c r="V94" i="2"/>
  <c r="AC94" i="2"/>
  <c r="X96" i="2"/>
  <c r="Z95" i="2"/>
  <c r="AB94" i="2"/>
  <c r="T94" i="2"/>
  <c r="T90" i="2"/>
  <c r="AA93" i="2"/>
  <c r="AA90" i="2"/>
  <c r="AB92" i="2"/>
  <c r="Z90" i="2"/>
  <c r="U88" i="2"/>
  <c r="X93" i="2"/>
  <c r="Z92" i="2"/>
  <c r="V91" i="2"/>
  <c r="X90" i="2"/>
  <c r="Z89" i="2"/>
  <c r="AB88" i="2"/>
  <c r="T88" i="2"/>
  <c r="V92" i="2"/>
  <c r="X88" i="2"/>
  <c r="AC92" i="2"/>
  <c r="W88" i="2"/>
  <c r="Y92" i="2"/>
  <c r="W90" i="2"/>
  <c r="AA88" i="2"/>
  <c r="Z91" i="2"/>
  <c r="AC89" i="2"/>
  <c r="AB89" i="2"/>
  <c r="Y93" i="2"/>
  <c r="Y90" i="2"/>
  <c r="W93" i="2"/>
  <c r="AC91" i="2"/>
  <c r="U91" i="2"/>
  <c r="Y89" i="2"/>
  <c r="T93" i="2"/>
  <c r="AB90" i="2"/>
  <c r="U92" i="2"/>
  <c r="Y91" i="2"/>
  <c r="T92" i="2"/>
  <c r="V88" i="2"/>
  <c r="AA92" i="2"/>
  <c r="W91" i="2"/>
  <c r="AA89" i="2"/>
  <c r="X92" i="2"/>
  <c r="AB91" i="2"/>
  <c r="T91" i="2"/>
  <c r="V90" i="2"/>
  <c r="X89" i="2"/>
  <c r="Z88" i="2"/>
  <c r="AB93" i="2"/>
  <c r="V89" i="2"/>
  <c r="U89" i="2"/>
  <c r="Z93" i="2"/>
  <c r="X91" i="2"/>
  <c r="T89" i="2"/>
  <c r="AC88" i="2"/>
  <c r="V93" i="2"/>
  <c r="AC93" i="2"/>
  <c r="U93" i="2"/>
  <c r="W92" i="2"/>
  <c r="AA91" i="2"/>
  <c r="AC90" i="2"/>
  <c r="U90" i="2"/>
  <c r="W89" i="2"/>
  <c r="Y88" i="2"/>
  <c r="AC87" i="2"/>
  <c r="AB87" i="2"/>
  <c r="AA87" i="2"/>
  <c r="Z87" i="2"/>
  <c r="Y87" i="2"/>
  <c r="W87" i="2"/>
  <c r="X87" i="2"/>
  <c r="V87" i="2"/>
  <c r="U87" i="2"/>
  <c r="T87" i="2"/>
  <c r="V107" i="2"/>
  <c r="Z103" i="2"/>
  <c r="AA100" i="2"/>
  <c r="W109" i="2"/>
  <c r="AA105" i="2"/>
  <c r="Z100" i="2"/>
  <c r="V109" i="2"/>
  <c r="AC104" i="2"/>
  <c r="V101" i="2"/>
  <c r="U109" i="2"/>
  <c r="Y105" i="2"/>
  <c r="X100" i="2"/>
  <c r="AA104" i="2"/>
  <c r="V100" i="2"/>
  <c r="AD107" i="2"/>
  <c r="AB105" i="2"/>
  <c r="X101" i="2"/>
  <c r="AC107" i="2"/>
  <c r="AD104" i="2"/>
  <c r="W101" i="2"/>
  <c r="T107" i="2"/>
  <c r="U104" i="2"/>
  <c r="Y100" i="2"/>
  <c r="AC109" i="2"/>
  <c r="AD106" i="2"/>
  <c r="AB104" i="2"/>
  <c r="Z102" i="2"/>
  <c r="AB109" i="2"/>
  <c r="Z107" i="2"/>
  <c r="X105" i="2"/>
  <c r="Y102" i="2"/>
  <c r="AB101" i="2"/>
  <c r="V108" i="2"/>
  <c r="AB106" i="2"/>
  <c r="Z104" i="2"/>
  <c r="AD100" i="2"/>
  <c r="Z109" i="2"/>
  <c r="AC108" i="2"/>
  <c r="U108" i="2"/>
  <c r="X107" i="2"/>
  <c r="AA106" i="2"/>
  <c r="AD105" i="2"/>
  <c r="V105" i="2"/>
  <c r="Y104" i="2"/>
  <c r="AB103" i="2"/>
  <c r="T103" i="2"/>
  <c r="W102" i="2"/>
  <c r="Z101" i="2"/>
  <c r="AC100" i="2"/>
  <c r="U100" i="2"/>
  <c r="X109" i="2"/>
  <c r="Y106" i="2"/>
  <c r="W104" i="2"/>
  <c r="AC102" i="2"/>
  <c r="Z108" i="2"/>
  <c r="X106" i="2"/>
  <c r="Y103" i="2"/>
  <c r="T102" i="2"/>
  <c r="AD109" i="2"/>
  <c r="AB107" i="2"/>
  <c r="Z105" i="2"/>
  <c r="AA102" i="2"/>
  <c r="X108" i="2"/>
  <c r="V106" i="2"/>
  <c r="W103" i="2"/>
  <c r="AC101" i="2"/>
  <c r="W108" i="2"/>
  <c r="U106" i="2"/>
  <c r="V103" i="2"/>
  <c r="T101" i="2"/>
  <c r="AD108" i="2"/>
  <c r="T106" i="2"/>
  <c r="AA101" i="2"/>
  <c r="AA108" i="2"/>
  <c r="T105" i="2"/>
  <c r="U102" i="2"/>
  <c r="U107" i="2"/>
  <c r="V104" i="2"/>
  <c r="AB102" i="2"/>
  <c r="Y108" i="2"/>
  <c r="W106" i="2"/>
  <c r="X103" i="2"/>
  <c r="AD101" i="2"/>
  <c r="AA107" i="2"/>
  <c r="T104" i="2"/>
  <c r="U101" i="2"/>
  <c r="T109" i="2"/>
  <c r="AC106" i="2"/>
  <c r="AD103" i="2"/>
  <c r="W100" i="2"/>
  <c r="AA109" i="2"/>
  <c r="Y107" i="2"/>
  <c r="W105" i="2"/>
  <c r="AC103" i="2"/>
  <c r="U103" i="2"/>
  <c r="X102" i="2"/>
  <c r="Y109" i="2"/>
  <c r="AB108" i="2"/>
  <c r="T108" i="2"/>
  <c r="W107" i="2"/>
  <c r="Z106" i="2"/>
  <c r="AC105" i="2"/>
  <c r="U105" i="2"/>
  <c r="X104" i="2"/>
  <c r="AA103" i="2"/>
  <c r="AD102" i="2"/>
  <c r="V102" i="2"/>
  <c r="Y101" i="2"/>
  <c r="AB100" i="2"/>
  <c r="T100" i="2"/>
  <c r="Z99" i="2"/>
  <c r="X99" i="2"/>
  <c r="W99" i="2"/>
  <c r="Y99" i="2"/>
  <c r="AB99" i="2"/>
  <c r="AA99" i="2"/>
  <c r="V99" i="2"/>
  <c r="AD99" i="2"/>
  <c r="AC99" i="2"/>
  <c r="U99" i="2"/>
  <c r="T99" i="2"/>
  <c r="AZ3" i="2"/>
  <c r="AZ4" i="2"/>
  <c r="AZ5" i="2"/>
  <c r="AZ6" i="2"/>
  <c r="AZ7" i="2"/>
  <c r="AZ8" i="2"/>
  <c r="AZ9" i="2"/>
  <c r="AZ10" i="2"/>
  <c r="AZ11" i="2"/>
  <c r="AZ12" i="2"/>
  <c r="AZ13" i="2"/>
  <c r="AZ14" i="2"/>
  <c r="AZ15" i="2"/>
  <c r="AZ16" i="2"/>
  <c r="AZ17" i="2"/>
  <c r="AZ18" i="2"/>
  <c r="AZ19" i="2"/>
  <c r="AZ20" i="2"/>
  <c r="AZ21" i="2"/>
  <c r="AZ22" i="2"/>
  <c r="AZ23" i="2"/>
  <c r="AZ24" i="2"/>
  <c r="AZ25" i="2"/>
  <c r="AZ26" i="2"/>
  <c r="AZ27" i="2"/>
  <c r="AZ28" i="2"/>
  <c r="AZ29" i="2"/>
  <c r="AZ30" i="2"/>
  <c r="AZ31" i="2"/>
  <c r="AZ32" i="2"/>
  <c r="AZ33" i="2"/>
  <c r="AZ34" i="2"/>
  <c r="AZ35" i="2"/>
  <c r="AZ36" i="2"/>
  <c r="AZ37" i="2"/>
  <c r="AZ38" i="2"/>
  <c r="AZ39" i="2"/>
  <c r="AZ40" i="2"/>
  <c r="AZ41" i="2"/>
  <c r="AZ42" i="2"/>
  <c r="AZ43" i="2"/>
  <c r="AZ44" i="2"/>
  <c r="AZ45" i="2"/>
  <c r="AZ46" i="2"/>
  <c r="AZ47" i="2"/>
  <c r="AZ48" i="2"/>
  <c r="AZ49" i="2"/>
  <c r="AZ50" i="2"/>
  <c r="AZ51" i="2"/>
  <c r="AZ52" i="2"/>
  <c r="AZ53" i="2"/>
  <c r="AZ54" i="2"/>
  <c r="AZ55"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5" i="2"/>
  <c r="AZ86" i="2"/>
  <c r="AZ87" i="2"/>
  <c r="AZ88" i="2"/>
  <c r="AZ89" i="2"/>
  <c r="AZ90" i="2"/>
  <c r="AZ91" i="2"/>
  <c r="AZ92" i="2"/>
  <c r="AZ93" i="2"/>
  <c r="AZ94" i="2"/>
  <c r="AZ95" i="2"/>
  <c r="AZ96" i="2"/>
  <c r="AZ97" i="2"/>
  <c r="AZ98" i="2"/>
  <c r="AZ99" i="2"/>
  <c r="AZ100" i="2"/>
  <c r="AZ101" i="2"/>
  <c r="AZ102" i="2"/>
  <c r="AZ103" i="2"/>
  <c r="AZ104" i="2"/>
  <c r="AZ105" i="2"/>
  <c r="AZ106" i="2"/>
  <c r="AZ107" i="2"/>
  <c r="AZ108" i="2"/>
  <c r="AZ109" i="2"/>
  <c r="AZ110" i="2"/>
  <c r="AZ111" i="2"/>
  <c r="AZ112" i="2"/>
  <c r="AZ113" i="2"/>
  <c r="AZ114" i="2"/>
  <c r="AZ115" i="2"/>
  <c r="AZ116" i="2"/>
  <c r="AZ117" i="2"/>
  <c r="AZ118" i="2"/>
  <c r="AZ119" i="2"/>
  <c r="AZ120" i="2"/>
  <c r="AZ121" i="2"/>
  <c r="AZ122" i="2"/>
  <c r="AZ123" i="2"/>
  <c r="AZ124" i="2"/>
  <c r="AZ125" i="2"/>
  <c r="AZ126" i="2"/>
  <c r="AZ127" i="2"/>
  <c r="AZ128" i="2"/>
  <c r="AZ129" i="2"/>
  <c r="AZ130" i="2"/>
  <c r="AZ131" i="2"/>
  <c r="AZ132" i="2"/>
  <c r="AZ133" i="2"/>
  <c r="AZ134" i="2"/>
  <c r="AZ135" i="2"/>
  <c r="AZ136" i="2"/>
  <c r="AZ137" i="2"/>
  <c r="AZ138" i="2"/>
  <c r="AZ139" i="2"/>
  <c r="AZ140" i="2"/>
  <c r="AZ141" i="2"/>
  <c r="AZ142" i="2"/>
  <c r="AZ143" i="2"/>
  <c r="AZ144" i="2"/>
  <c r="AZ145" i="2"/>
  <c r="AZ146" i="2"/>
  <c r="AZ147" i="2"/>
  <c r="AZ148" i="2"/>
  <c r="AZ149" i="2"/>
  <c r="AZ150" i="2"/>
  <c r="AZ151" i="2"/>
  <c r="AZ152" i="2"/>
  <c r="AZ153" i="2"/>
  <c r="AZ154" i="2"/>
  <c r="AZ155" i="2"/>
  <c r="AZ156" i="2"/>
  <c r="AZ157" i="2"/>
  <c r="AZ158" i="2"/>
  <c r="AZ159" i="2"/>
  <c r="AZ160" i="2"/>
  <c r="AZ161" i="2"/>
  <c r="AZ162" i="2"/>
  <c r="AZ163" i="2"/>
  <c r="AZ164" i="2"/>
  <c r="AZ165" i="2"/>
  <c r="AZ166" i="2"/>
  <c r="AZ167" i="2"/>
  <c r="AZ168" i="2"/>
  <c r="AZ169" i="2"/>
  <c r="AZ170" i="2"/>
  <c r="AZ171" i="2"/>
  <c r="AZ172" i="2"/>
  <c r="AZ173" i="2"/>
  <c r="AZ174" i="2"/>
  <c r="AZ175" i="2"/>
  <c r="AZ176" i="2"/>
  <c r="AZ177" i="2"/>
  <c r="AZ178" i="2"/>
  <c r="AZ179" i="2"/>
  <c r="AZ180" i="2"/>
  <c r="AZ181" i="2"/>
  <c r="AZ182" i="2"/>
  <c r="AZ183" i="2"/>
  <c r="AZ184" i="2"/>
  <c r="AZ185" i="2"/>
  <c r="AZ186" i="2"/>
  <c r="AZ187" i="2"/>
  <c r="AZ188" i="2"/>
  <c r="AZ189" i="2"/>
  <c r="AZ190" i="2"/>
  <c r="AZ191" i="2"/>
  <c r="AZ192" i="2"/>
  <c r="AZ193" i="2"/>
  <c r="AZ194" i="2"/>
  <c r="AZ195" i="2"/>
  <c r="AZ196" i="2"/>
  <c r="AZ197" i="2"/>
  <c r="AZ198" i="2"/>
  <c r="AZ199" i="2"/>
  <c r="AZ200" i="2"/>
  <c r="AZ201" i="2"/>
  <c r="AZ202" i="2"/>
  <c r="AZ203" i="2"/>
  <c r="AZ204" i="2"/>
  <c r="AZ205" i="2"/>
  <c r="AZ206" i="2"/>
  <c r="AZ207" i="2"/>
  <c r="AZ208" i="2"/>
  <c r="AZ209" i="2"/>
  <c r="AZ210" i="2"/>
  <c r="AZ211" i="2"/>
  <c r="AZ212" i="2"/>
  <c r="AZ213" i="2"/>
  <c r="AZ214" i="2"/>
  <c r="AZ215" i="2"/>
  <c r="AZ216" i="2"/>
  <c r="AZ217" i="2"/>
  <c r="AZ218" i="2"/>
  <c r="AZ219" i="2"/>
  <c r="AZ220" i="2"/>
  <c r="AZ221" i="2"/>
  <c r="AZ222" i="2"/>
  <c r="AZ223" i="2"/>
  <c r="AZ224" i="2"/>
  <c r="AZ225" i="2"/>
  <c r="AZ226" i="2"/>
  <c r="AZ227" i="2"/>
  <c r="AZ228" i="2"/>
  <c r="AZ229" i="2"/>
  <c r="AZ230" i="2"/>
  <c r="AZ231" i="2"/>
  <c r="AZ232" i="2"/>
  <c r="AZ233" i="2"/>
  <c r="AZ234" i="2"/>
  <c r="AZ235" i="2"/>
  <c r="AZ236" i="2"/>
  <c r="AZ237" i="2"/>
  <c r="AZ238" i="2"/>
  <c r="AZ239" i="2"/>
  <c r="AZ240" i="2"/>
  <c r="AZ241" i="2"/>
  <c r="AZ242" i="2"/>
  <c r="AZ243" i="2"/>
  <c r="AZ244" i="2"/>
  <c r="AZ245" i="2"/>
  <c r="AZ246" i="2"/>
  <c r="AZ247" i="2"/>
  <c r="AZ248" i="2"/>
  <c r="AZ249" i="2"/>
  <c r="AZ250" i="2"/>
  <c r="AZ251" i="2"/>
  <c r="AZ252" i="2"/>
  <c r="AZ253" i="2"/>
  <c r="AZ254" i="2"/>
  <c r="AZ255" i="2"/>
  <c r="AZ256" i="2"/>
  <c r="AZ257" i="2"/>
  <c r="AZ2"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AY82" i="2"/>
  <c r="AY83" i="2"/>
  <c r="AY84" i="2"/>
  <c r="AY85" i="2"/>
  <c r="AY86" i="2"/>
  <c r="AY87" i="2"/>
  <c r="AY88" i="2"/>
  <c r="AY89" i="2"/>
  <c r="AY90" i="2"/>
  <c r="AY91" i="2"/>
  <c r="AY92" i="2"/>
  <c r="AY93" i="2"/>
  <c r="AY94" i="2"/>
  <c r="AY95" i="2"/>
  <c r="AY96" i="2"/>
  <c r="AY97" i="2"/>
  <c r="AY98" i="2"/>
  <c r="AY99" i="2"/>
  <c r="AY100" i="2"/>
  <c r="AY101" i="2"/>
  <c r="AY102" i="2"/>
  <c r="AY103" i="2"/>
  <c r="AY104" i="2"/>
  <c r="AY105" i="2"/>
  <c r="AY106" i="2"/>
  <c r="AY107" i="2"/>
  <c r="AY108" i="2"/>
  <c r="AY109" i="2"/>
  <c r="AY110" i="2"/>
  <c r="AY111" i="2"/>
  <c r="AY112" i="2"/>
  <c r="AY113" i="2"/>
  <c r="AY114" i="2"/>
  <c r="AY115" i="2"/>
  <c r="AY116" i="2"/>
  <c r="AY117" i="2"/>
  <c r="AY118" i="2"/>
  <c r="AY119" i="2"/>
  <c r="AY120" i="2"/>
  <c r="AY121" i="2"/>
  <c r="AY122" i="2"/>
  <c r="AY123" i="2"/>
  <c r="AY124" i="2"/>
  <c r="AY125" i="2"/>
  <c r="AY126" i="2"/>
  <c r="AY127" i="2"/>
  <c r="AY128" i="2"/>
  <c r="AY129" i="2"/>
  <c r="AY130" i="2"/>
  <c r="AY131" i="2"/>
  <c r="AY132" i="2"/>
  <c r="AY133" i="2"/>
  <c r="AY134" i="2"/>
  <c r="AY135" i="2"/>
  <c r="AY136" i="2"/>
  <c r="AY137" i="2"/>
  <c r="AY138" i="2"/>
  <c r="AY139" i="2"/>
  <c r="AY140" i="2"/>
  <c r="AY141" i="2"/>
  <c r="AY142" i="2"/>
  <c r="AY143" i="2"/>
  <c r="AY144" i="2"/>
  <c r="AY145" i="2"/>
  <c r="AY146" i="2"/>
  <c r="AY147" i="2"/>
  <c r="AY148" i="2"/>
  <c r="AY149" i="2"/>
  <c r="AY150" i="2"/>
  <c r="AY151" i="2"/>
  <c r="AY152" i="2"/>
  <c r="AY153" i="2"/>
  <c r="AY154" i="2"/>
  <c r="AY155" i="2"/>
  <c r="AY156" i="2"/>
  <c r="AY157" i="2"/>
  <c r="AY158" i="2"/>
  <c r="AY159" i="2"/>
  <c r="AY160" i="2"/>
  <c r="AY161" i="2"/>
  <c r="AY162" i="2"/>
  <c r="AY163" i="2"/>
  <c r="AY164" i="2"/>
  <c r="AY165" i="2"/>
  <c r="AY166" i="2"/>
  <c r="AY167" i="2"/>
  <c r="AY168" i="2"/>
  <c r="AY169" i="2"/>
  <c r="AY170" i="2"/>
  <c r="AY171" i="2"/>
  <c r="AY172" i="2"/>
  <c r="AY173" i="2"/>
  <c r="AY174" i="2"/>
  <c r="AY175" i="2"/>
  <c r="AY176" i="2"/>
  <c r="AY177" i="2"/>
  <c r="AY178" i="2"/>
  <c r="AY179" i="2"/>
  <c r="AY180" i="2"/>
  <c r="AY181" i="2"/>
  <c r="AY182" i="2"/>
  <c r="AY183" i="2"/>
  <c r="AY184" i="2"/>
  <c r="AY185" i="2"/>
  <c r="AY186" i="2"/>
  <c r="AY187" i="2"/>
  <c r="AY188" i="2"/>
  <c r="AY189" i="2"/>
  <c r="AY190" i="2"/>
  <c r="AY191" i="2"/>
  <c r="AY192" i="2"/>
  <c r="AY193" i="2"/>
  <c r="AY194" i="2"/>
  <c r="AY195" i="2"/>
  <c r="AY196" i="2"/>
  <c r="AY197" i="2"/>
  <c r="AY198" i="2"/>
  <c r="AY199" i="2"/>
  <c r="AY200" i="2"/>
  <c r="AY201" i="2"/>
  <c r="AY202" i="2"/>
  <c r="AY203" i="2"/>
  <c r="AY204" i="2"/>
  <c r="AY205" i="2"/>
  <c r="AY206" i="2"/>
  <c r="AY207" i="2"/>
  <c r="AY208" i="2"/>
  <c r="AY209" i="2"/>
  <c r="AY210" i="2"/>
  <c r="AY211" i="2"/>
  <c r="AY212" i="2"/>
  <c r="AY213" i="2"/>
  <c r="AY214" i="2"/>
  <c r="AY215" i="2"/>
  <c r="AY216" i="2"/>
  <c r="AY217" i="2"/>
  <c r="AY218" i="2"/>
  <c r="AY219" i="2"/>
  <c r="AY220" i="2"/>
  <c r="AY221" i="2"/>
  <c r="AY222" i="2"/>
  <c r="AY223" i="2"/>
  <c r="AY224" i="2"/>
  <c r="AY225" i="2"/>
  <c r="AY226" i="2"/>
  <c r="AY227" i="2"/>
  <c r="AY228" i="2"/>
  <c r="AY229" i="2"/>
  <c r="AY230" i="2"/>
  <c r="AY231" i="2"/>
  <c r="AY232" i="2"/>
  <c r="AY233" i="2"/>
  <c r="AY234" i="2"/>
  <c r="AY235" i="2"/>
  <c r="AY236" i="2"/>
  <c r="AY237" i="2"/>
  <c r="AY238" i="2"/>
  <c r="AY239" i="2"/>
  <c r="AY240" i="2"/>
  <c r="AY241" i="2"/>
  <c r="AY242" i="2"/>
  <c r="AY243" i="2"/>
  <c r="AY244" i="2"/>
  <c r="AY245" i="2"/>
  <c r="AY246" i="2"/>
  <c r="AY247" i="2"/>
  <c r="AY248" i="2"/>
  <c r="AY249" i="2"/>
  <c r="AY250" i="2"/>
  <c r="AY251" i="2"/>
  <c r="AY252" i="2"/>
  <c r="AY253" i="2"/>
  <c r="AY254" i="2"/>
  <c r="AY255" i="2"/>
  <c r="AY256" i="2"/>
  <c r="AY257" i="2"/>
  <c r="AX50" i="2"/>
  <c r="AX51" i="2"/>
  <c r="AX52" i="2"/>
  <c r="AX53" i="2"/>
  <c r="AX54" i="2"/>
  <c r="AX55" i="2"/>
  <c r="AX56" i="2"/>
  <c r="AX57" i="2"/>
  <c r="AX58" i="2"/>
  <c r="AX59" i="2"/>
  <c r="AX60" i="2"/>
  <c r="AX61" i="2"/>
  <c r="AX62" i="2"/>
  <c r="AX63" i="2"/>
  <c r="AX64" i="2"/>
  <c r="AX65" i="2"/>
  <c r="AX66" i="2"/>
  <c r="AX67" i="2"/>
  <c r="AX68" i="2"/>
  <c r="AX69" i="2"/>
  <c r="AX70" i="2"/>
  <c r="AX71" i="2"/>
  <c r="AX72" i="2"/>
  <c r="AX73" i="2"/>
  <c r="AX74" i="2"/>
  <c r="AX75" i="2"/>
  <c r="AX76" i="2"/>
  <c r="AX77" i="2"/>
  <c r="AX78" i="2"/>
  <c r="AX79" i="2"/>
  <c r="AX80" i="2"/>
  <c r="AX81" i="2"/>
  <c r="AX82" i="2"/>
  <c r="AX83" i="2"/>
  <c r="AX84" i="2"/>
  <c r="AX85" i="2"/>
  <c r="AX86" i="2"/>
  <c r="AX87" i="2"/>
  <c r="AX88" i="2"/>
  <c r="AX89" i="2"/>
  <c r="AX90" i="2"/>
  <c r="AX91" i="2"/>
  <c r="AX92" i="2"/>
  <c r="AX93" i="2"/>
  <c r="AX94" i="2"/>
  <c r="AX95" i="2"/>
  <c r="AX96" i="2"/>
  <c r="AX97" i="2"/>
  <c r="AX98" i="2"/>
  <c r="AX99" i="2"/>
  <c r="AX100" i="2"/>
  <c r="AX101" i="2"/>
  <c r="AX102" i="2"/>
  <c r="AX103" i="2"/>
  <c r="AX104" i="2"/>
  <c r="AX105" i="2"/>
  <c r="AX106" i="2"/>
  <c r="AX107" i="2"/>
  <c r="AX108" i="2"/>
  <c r="AX109" i="2"/>
  <c r="AX110" i="2"/>
  <c r="AX111" i="2"/>
  <c r="AX112" i="2"/>
  <c r="AX113" i="2"/>
  <c r="AX114" i="2"/>
  <c r="AX115" i="2"/>
  <c r="AX116" i="2"/>
  <c r="AX117" i="2"/>
  <c r="AX118" i="2"/>
  <c r="AX119" i="2"/>
  <c r="AX120" i="2"/>
  <c r="AX121" i="2"/>
  <c r="AX122" i="2"/>
  <c r="AX123" i="2"/>
  <c r="AX124" i="2"/>
  <c r="AX125" i="2"/>
  <c r="AX126" i="2"/>
  <c r="AX127" i="2"/>
  <c r="AX128" i="2"/>
  <c r="AX129" i="2"/>
  <c r="AX130" i="2"/>
  <c r="AX131" i="2"/>
  <c r="AX132" i="2"/>
  <c r="AX133" i="2"/>
  <c r="AX134" i="2"/>
  <c r="AX135" i="2"/>
  <c r="AX136" i="2"/>
  <c r="AX137" i="2"/>
  <c r="AX138" i="2"/>
  <c r="AX139" i="2"/>
  <c r="AX140" i="2"/>
  <c r="AX141" i="2"/>
  <c r="AX142" i="2"/>
  <c r="AX143" i="2"/>
  <c r="AX144" i="2"/>
  <c r="AX145" i="2"/>
  <c r="AX146" i="2"/>
  <c r="AX147" i="2"/>
  <c r="AX148" i="2"/>
  <c r="AX149" i="2"/>
  <c r="AX150" i="2"/>
  <c r="AX151" i="2"/>
  <c r="AX152" i="2"/>
  <c r="AX153" i="2"/>
  <c r="AX154" i="2"/>
  <c r="AX155" i="2"/>
  <c r="AX156" i="2"/>
  <c r="AX157" i="2"/>
  <c r="AX158" i="2"/>
  <c r="AX159" i="2"/>
  <c r="AX160" i="2"/>
  <c r="AX161" i="2"/>
  <c r="AX162" i="2"/>
  <c r="AX163" i="2"/>
  <c r="AX164" i="2"/>
  <c r="AX165" i="2"/>
  <c r="AX166" i="2"/>
  <c r="AX167" i="2"/>
  <c r="AX168" i="2"/>
  <c r="AX169" i="2"/>
  <c r="AX170" i="2"/>
  <c r="AX171" i="2"/>
  <c r="AX172" i="2"/>
  <c r="AX173" i="2"/>
  <c r="AX174" i="2"/>
  <c r="AX175" i="2"/>
  <c r="AX176" i="2"/>
  <c r="AX177" i="2"/>
  <c r="AX178" i="2"/>
  <c r="AX179" i="2"/>
  <c r="AX180" i="2"/>
  <c r="AX181" i="2"/>
  <c r="AX182" i="2"/>
  <c r="AX183" i="2"/>
  <c r="AX184" i="2"/>
  <c r="AX185" i="2"/>
  <c r="AX186" i="2"/>
  <c r="AX187" i="2"/>
  <c r="AX188" i="2"/>
  <c r="AX189" i="2"/>
  <c r="AX190" i="2"/>
  <c r="AX191" i="2"/>
  <c r="AX192" i="2"/>
  <c r="AX193" i="2"/>
  <c r="AX194" i="2"/>
  <c r="AX195" i="2"/>
  <c r="AX196" i="2"/>
  <c r="AX197" i="2"/>
  <c r="AX198" i="2"/>
  <c r="AX199" i="2"/>
  <c r="AX200" i="2"/>
  <c r="AX201" i="2"/>
  <c r="AX202" i="2"/>
  <c r="AX203" i="2"/>
  <c r="AX204" i="2"/>
  <c r="AX205" i="2"/>
  <c r="AX206" i="2"/>
  <c r="AX207" i="2"/>
  <c r="AX208" i="2"/>
  <c r="AX209" i="2"/>
  <c r="AX210" i="2"/>
  <c r="AX211" i="2"/>
  <c r="AX212" i="2"/>
  <c r="AX213" i="2"/>
  <c r="AX214" i="2"/>
  <c r="AX215" i="2"/>
  <c r="AX216" i="2"/>
  <c r="AX217" i="2"/>
  <c r="AX218" i="2"/>
  <c r="AX219" i="2"/>
  <c r="AX220" i="2"/>
  <c r="AX221" i="2"/>
  <c r="AX222" i="2"/>
  <c r="AX223" i="2"/>
  <c r="AX224" i="2"/>
  <c r="AX225" i="2"/>
  <c r="AX226" i="2"/>
  <c r="AX227" i="2"/>
  <c r="AX228" i="2"/>
  <c r="AX229" i="2"/>
  <c r="AX230" i="2"/>
  <c r="AX231" i="2"/>
  <c r="AX232" i="2"/>
  <c r="AX233" i="2"/>
  <c r="AX234" i="2"/>
  <c r="AX235" i="2"/>
  <c r="AX236" i="2"/>
  <c r="AX237" i="2"/>
  <c r="AX238" i="2"/>
  <c r="AX239" i="2"/>
  <c r="AX240" i="2"/>
  <c r="AX241" i="2"/>
  <c r="AX242" i="2"/>
  <c r="AX243" i="2"/>
  <c r="AX244" i="2"/>
  <c r="AX245" i="2"/>
  <c r="AX246" i="2"/>
  <c r="AX247" i="2"/>
  <c r="AX248" i="2"/>
  <c r="AX249" i="2"/>
  <c r="AX250" i="2"/>
  <c r="AX251" i="2"/>
  <c r="AX252" i="2"/>
  <c r="AX253" i="2"/>
  <c r="AX254" i="2"/>
  <c r="AX255" i="2"/>
  <c r="AX256" i="2"/>
  <c r="AX257"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E55" i="2"/>
  <c r="AF55" i="2"/>
  <c r="AG55" i="2"/>
  <c r="AH55" i="2"/>
  <c r="AI55" i="2"/>
  <c r="AJ55" i="2"/>
  <c r="AK55" i="2"/>
  <c r="AL55" i="2"/>
  <c r="AM55" i="2"/>
  <c r="AN55" i="2"/>
  <c r="AE56" i="2"/>
  <c r="AF56" i="2"/>
  <c r="AG56" i="2"/>
  <c r="AH56" i="2"/>
  <c r="AI56" i="2"/>
  <c r="AJ56" i="2"/>
  <c r="AK56" i="2"/>
  <c r="AL56" i="2"/>
  <c r="AM56" i="2"/>
  <c r="AN56" i="2"/>
  <c r="AE57" i="2"/>
  <c r="AF57" i="2"/>
  <c r="AG57" i="2"/>
  <c r="AH57" i="2"/>
  <c r="AI57" i="2"/>
  <c r="AJ57" i="2"/>
  <c r="AK57" i="2"/>
  <c r="AL57" i="2"/>
  <c r="AM57" i="2"/>
  <c r="AN57" i="2"/>
  <c r="AE58" i="2"/>
  <c r="AF58" i="2"/>
  <c r="AG58" i="2"/>
  <c r="AH58" i="2"/>
  <c r="AI58" i="2"/>
  <c r="AJ58" i="2"/>
  <c r="AK58" i="2"/>
  <c r="AL58" i="2"/>
  <c r="AM58" i="2"/>
  <c r="AN58" i="2"/>
  <c r="AE59" i="2"/>
  <c r="AF59" i="2"/>
  <c r="AG59" i="2"/>
  <c r="AH59" i="2"/>
  <c r="AI59" i="2"/>
  <c r="AJ59" i="2"/>
  <c r="AK59" i="2"/>
  <c r="AL59" i="2"/>
  <c r="AM59" i="2"/>
  <c r="AN59" i="2"/>
  <c r="AE60" i="2"/>
  <c r="AF60" i="2"/>
  <c r="AG60" i="2"/>
  <c r="AH60" i="2"/>
  <c r="AI60" i="2"/>
  <c r="AJ60" i="2"/>
  <c r="AK60" i="2"/>
  <c r="AL60" i="2"/>
  <c r="AM60" i="2"/>
  <c r="AN60" i="2"/>
  <c r="AE61" i="2"/>
  <c r="AF61" i="2"/>
  <c r="AG61" i="2"/>
  <c r="AH61" i="2"/>
  <c r="AI61" i="2"/>
  <c r="AJ61" i="2"/>
  <c r="AK61" i="2"/>
  <c r="AL61" i="2"/>
  <c r="AM61" i="2"/>
  <c r="AN61" i="2"/>
  <c r="AE62" i="2"/>
  <c r="AF62" i="2"/>
  <c r="AG62" i="2"/>
  <c r="AH62" i="2"/>
  <c r="AI62" i="2"/>
  <c r="AJ62" i="2"/>
  <c r="AK62" i="2"/>
  <c r="AL62" i="2"/>
  <c r="AM62" i="2"/>
  <c r="AN62" i="2"/>
  <c r="AE63" i="2"/>
  <c r="AF63" i="2"/>
  <c r="AG63" i="2"/>
  <c r="AH63" i="2"/>
  <c r="AI63" i="2"/>
  <c r="AJ63" i="2"/>
  <c r="AK63" i="2"/>
  <c r="AL63" i="2"/>
  <c r="AM63" i="2"/>
  <c r="AN63" i="2"/>
  <c r="AF54" i="2"/>
  <c r="AG54" i="2"/>
  <c r="AH54" i="2"/>
  <c r="AI54" i="2"/>
  <c r="AJ54" i="2"/>
  <c r="AK54" i="2"/>
  <c r="AL54" i="2"/>
  <c r="AM54" i="2"/>
  <c r="AN54" i="2"/>
  <c r="AE54" i="2"/>
  <c r="T55" i="2"/>
  <c r="U55" i="2"/>
  <c r="V55" i="2"/>
  <c r="W55" i="2"/>
  <c r="X55" i="2"/>
  <c r="Y55" i="2"/>
  <c r="Z55" i="2"/>
  <c r="AA55" i="2"/>
  <c r="AB55" i="2"/>
  <c r="AC55" i="2"/>
  <c r="T56" i="2"/>
  <c r="U56" i="2"/>
  <c r="V56" i="2"/>
  <c r="W56" i="2"/>
  <c r="X56" i="2"/>
  <c r="Y56" i="2"/>
  <c r="Z56" i="2"/>
  <c r="AA56" i="2"/>
  <c r="AB56" i="2"/>
  <c r="AC56" i="2"/>
  <c r="T57" i="2"/>
  <c r="U57" i="2"/>
  <c r="V57" i="2"/>
  <c r="W57" i="2"/>
  <c r="X57" i="2"/>
  <c r="Y57" i="2"/>
  <c r="Z57" i="2"/>
  <c r="AA57" i="2"/>
  <c r="AB57" i="2"/>
  <c r="AC57" i="2"/>
  <c r="T58" i="2"/>
  <c r="U58" i="2"/>
  <c r="V58" i="2"/>
  <c r="W58" i="2"/>
  <c r="X58" i="2"/>
  <c r="Y58" i="2"/>
  <c r="Z58" i="2"/>
  <c r="AA58" i="2"/>
  <c r="AB58" i="2"/>
  <c r="AC58" i="2"/>
  <c r="T59" i="2"/>
  <c r="U59" i="2"/>
  <c r="V59" i="2"/>
  <c r="W59" i="2"/>
  <c r="X59" i="2"/>
  <c r="Y59" i="2"/>
  <c r="Z59" i="2"/>
  <c r="AA59" i="2"/>
  <c r="AB59" i="2"/>
  <c r="AC59" i="2"/>
  <c r="T60" i="2"/>
  <c r="U60" i="2"/>
  <c r="V60" i="2"/>
  <c r="W60" i="2"/>
  <c r="X60" i="2"/>
  <c r="Y60" i="2"/>
  <c r="Z60" i="2"/>
  <c r="AA60" i="2"/>
  <c r="AB60" i="2"/>
  <c r="AC60" i="2"/>
  <c r="T61" i="2"/>
  <c r="U61" i="2"/>
  <c r="V61" i="2"/>
  <c r="W61" i="2"/>
  <c r="X61" i="2"/>
  <c r="Y61" i="2"/>
  <c r="Z61" i="2"/>
  <c r="AA61" i="2"/>
  <c r="AB61" i="2"/>
  <c r="AC61" i="2"/>
  <c r="T62" i="2"/>
  <c r="U62" i="2"/>
  <c r="V62" i="2"/>
  <c r="W62" i="2"/>
  <c r="X62" i="2"/>
  <c r="Y62" i="2"/>
  <c r="Z62" i="2"/>
  <c r="AA62" i="2"/>
  <c r="AB62" i="2"/>
  <c r="AC62" i="2"/>
  <c r="T63" i="2"/>
  <c r="U63" i="2"/>
  <c r="V63" i="2"/>
  <c r="W63" i="2"/>
  <c r="X63" i="2"/>
  <c r="Y63" i="2"/>
  <c r="Z63" i="2"/>
  <c r="AA63" i="2"/>
  <c r="AB63" i="2"/>
  <c r="AC63" i="2"/>
  <c r="Z54" i="2"/>
  <c r="AA54" i="2"/>
  <c r="AB54" i="2"/>
  <c r="AC54" i="2"/>
  <c r="U54" i="2"/>
  <c r="V54" i="2"/>
  <c r="W54" i="2"/>
  <c r="X54" i="2"/>
  <c r="Y54" i="2"/>
  <c r="T54" i="2"/>
  <c r="AV50" i="2"/>
  <c r="AV51" i="2"/>
  <c r="AV52" i="2"/>
  <c r="AV53" i="2"/>
  <c r="AV54" i="2"/>
  <c r="AV55" i="2"/>
  <c r="AV56" i="2"/>
  <c r="AV57" i="2"/>
  <c r="AV58" i="2"/>
  <c r="AV59" i="2"/>
  <c r="AV60" i="2"/>
  <c r="AV61" i="2"/>
  <c r="AV62" i="2"/>
  <c r="AV63" i="2"/>
  <c r="AV64" i="2"/>
  <c r="AV65" i="2"/>
  <c r="AV66" i="2"/>
  <c r="AV67" i="2"/>
  <c r="AV68" i="2"/>
  <c r="AV69" i="2"/>
  <c r="AV70" i="2"/>
  <c r="AV71" i="2"/>
  <c r="AV72" i="2"/>
  <c r="AV73" i="2"/>
  <c r="AV74" i="2"/>
  <c r="AV75" i="2"/>
  <c r="AV76" i="2"/>
  <c r="AV77" i="2"/>
  <c r="AV78" i="2"/>
  <c r="AV79" i="2"/>
  <c r="AV80" i="2"/>
  <c r="AV81" i="2"/>
  <c r="AV82" i="2"/>
  <c r="AV83" i="2"/>
  <c r="AV84" i="2"/>
  <c r="AV85" i="2"/>
  <c r="AV86" i="2"/>
  <c r="AV87" i="2"/>
  <c r="AV88" i="2"/>
  <c r="AV89" i="2"/>
  <c r="AV90" i="2"/>
  <c r="AV91" i="2"/>
  <c r="AV92" i="2"/>
  <c r="AV93" i="2"/>
  <c r="AV94" i="2"/>
  <c r="AV95" i="2"/>
  <c r="AV96" i="2"/>
  <c r="AV97" i="2"/>
  <c r="AV98" i="2"/>
  <c r="AV99" i="2"/>
  <c r="AV100" i="2"/>
  <c r="AV101" i="2"/>
  <c r="AV102" i="2"/>
  <c r="AV103" i="2"/>
  <c r="AV104" i="2"/>
  <c r="AV105" i="2"/>
  <c r="AV106" i="2"/>
  <c r="AV107" i="2"/>
  <c r="AV108" i="2"/>
  <c r="AV109" i="2"/>
  <c r="AV110" i="2"/>
  <c r="AV111" i="2"/>
  <c r="AV112" i="2"/>
  <c r="AV113" i="2"/>
  <c r="AV114" i="2"/>
  <c r="AV115" i="2"/>
  <c r="AV116" i="2"/>
  <c r="AV117" i="2"/>
  <c r="AV118" i="2"/>
  <c r="AV119" i="2"/>
  <c r="AV120" i="2"/>
  <c r="AV121" i="2"/>
  <c r="AV122" i="2"/>
  <c r="AV123" i="2"/>
  <c r="AV124" i="2"/>
  <c r="AV125" i="2"/>
  <c r="AV126" i="2"/>
  <c r="AV127" i="2"/>
  <c r="AV128" i="2"/>
  <c r="AV129" i="2"/>
  <c r="AV130" i="2"/>
  <c r="AV131" i="2"/>
  <c r="AV132" i="2"/>
  <c r="AV133" i="2"/>
  <c r="AV134" i="2"/>
  <c r="AV135" i="2"/>
  <c r="AV136" i="2"/>
  <c r="AV137" i="2"/>
  <c r="AV138" i="2"/>
  <c r="AV139" i="2"/>
  <c r="AV140" i="2"/>
  <c r="AV141" i="2"/>
  <c r="AV142" i="2"/>
  <c r="AV143" i="2"/>
  <c r="AV144" i="2"/>
  <c r="AV145" i="2"/>
  <c r="AV146" i="2"/>
  <c r="AV147" i="2"/>
  <c r="AV148" i="2"/>
  <c r="AV149" i="2"/>
  <c r="AV150" i="2"/>
  <c r="AV151" i="2"/>
  <c r="AV152" i="2"/>
  <c r="AV153" i="2"/>
  <c r="AV154" i="2"/>
  <c r="AV155" i="2"/>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88" i="2"/>
  <c r="AV189" i="2"/>
  <c r="AV190" i="2"/>
  <c r="AV191" i="2"/>
  <c r="AV192" i="2"/>
  <c r="AV193" i="2"/>
  <c r="AV194" i="2"/>
  <c r="AV195" i="2"/>
  <c r="AV196" i="2"/>
  <c r="AV197" i="2"/>
  <c r="AV198" i="2"/>
  <c r="AV199" i="2"/>
  <c r="AV200" i="2"/>
  <c r="AV201" i="2"/>
  <c r="AV202" i="2"/>
  <c r="AV203" i="2"/>
  <c r="AV204" i="2"/>
  <c r="AV205" i="2"/>
  <c r="AV206" i="2"/>
  <c r="AV207" i="2"/>
  <c r="AV208" i="2"/>
  <c r="AV209" i="2"/>
  <c r="AV210" i="2"/>
  <c r="AV211" i="2"/>
  <c r="AV212" i="2"/>
  <c r="AV213" i="2"/>
  <c r="AV214" i="2"/>
  <c r="AV215" i="2"/>
  <c r="AV216" i="2"/>
  <c r="AV217" i="2"/>
  <c r="AV218" i="2"/>
  <c r="AV219" i="2"/>
  <c r="AV220" i="2"/>
  <c r="AV221" i="2"/>
  <c r="AV222" i="2"/>
  <c r="AV223" i="2"/>
  <c r="AV224" i="2"/>
  <c r="AV225" i="2"/>
  <c r="AV226" i="2"/>
  <c r="AV227" i="2"/>
  <c r="AV228" i="2"/>
  <c r="AV229" i="2"/>
  <c r="AV230" i="2"/>
  <c r="AV231" i="2"/>
  <c r="AV232" i="2"/>
  <c r="AV233" i="2"/>
  <c r="AV234" i="2"/>
  <c r="AV235" i="2"/>
  <c r="AV236" i="2"/>
  <c r="AV237" i="2"/>
  <c r="AV238" i="2"/>
  <c r="AV239" i="2"/>
  <c r="AV240" i="2"/>
  <c r="AV241" i="2"/>
  <c r="AV242" i="2"/>
  <c r="AV243" i="2"/>
  <c r="AV244" i="2"/>
  <c r="AV245" i="2"/>
  <c r="AV246" i="2"/>
  <c r="AV247" i="2"/>
  <c r="AV248" i="2"/>
  <c r="AV249" i="2"/>
  <c r="AV250" i="2"/>
  <c r="AV251" i="2"/>
  <c r="AV252" i="2"/>
  <c r="AV253" i="2"/>
  <c r="AV254" i="2"/>
  <c r="AV255" i="2"/>
  <c r="AV256" i="2"/>
  <c r="AV257" i="2"/>
  <c r="B18" i="1"/>
  <c r="B25" i="1" s="1"/>
  <c r="B19" i="1"/>
  <c r="B26" i="1" s="1"/>
  <c r="B20" i="1"/>
  <c r="B27" i="1" s="1"/>
  <c r="B21" i="1"/>
  <c r="B28" i="1" s="1"/>
  <c r="B22" i="1"/>
  <c r="B29" i="1" s="1"/>
  <c r="C18" i="1"/>
  <c r="C25" i="1" s="1"/>
  <c r="D18" i="1"/>
  <c r="D25" i="1" s="1"/>
  <c r="E18" i="1"/>
  <c r="E25" i="1" s="1"/>
  <c r="F18" i="1"/>
  <c r="F25" i="1" s="1"/>
  <c r="B12" i="1"/>
  <c r="C12" i="1"/>
  <c r="D12" i="1"/>
  <c r="E12" i="1"/>
  <c r="F12" i="1"/>
  <c r="B13" i="1"/>
  <c r="C13" i="1"/>
  <c r="D13" i="1"/>
  <c r="E13" i="1"/>
  <c r="F13" i="1"/>
  <c r="B14" i="1"/>
  <c r="C14" i="1"/>
  <c r="D14" i="1"/>
  <c r="E14" i="1"/>
  <c r="F14" i="1"/>
  <c r="B15" i="1"/>
  <c r="C15" i="1"/>
  <c r="D15" i="1"/>
  <c r="E15" i="1"/>
  <c r="F15" i="1"/>
  <c r="C11" i="1"/>
  <c r="D11" i="1"/>
  <c r="E11" i="1"/>
  <c r="F11" i="1"/>
  <c r="B11" i="1"/>
  <c r="C19" i="1"/>
  <c r="C26" i="1" s="1"/>
  <c r="D19" i="1"/>
  <c r="E19" i="1"/>
  <c r="F19" i="1"/>
  <c r="C20" i="1"/>
  <c r="D20" i="1"/>
  <c r="E20" i="1"/>
  <c r="E27" i="1" s="1"/>
  <c r="F20" i="1"/>
  <c r="F27" i="1" s="1"/>
  <c r="C21" i="1"/>
  <c r="C28" i="1" s="1"/>
  <c r="D21" i="1"/>
  <c r="D28" i="1" s="1"/>
  <c r="E21" i="1"/>
  <c r="E28" i="1" s="1"/>
  <c r="F21" i="1"/>
  <c r="F28" i="1" s="1"/>
  <c r="C22" i="1"/>
  <c r="C29" i="1" s="1"/>
  <c r="D22" i="1"/>
  <c r="D29" i="1" s="1"/>
  <c r="E22" i="1"/>
  <c r="F22" i="1"/>
  <c r="W79" i="2" a="1"/>
  <c r="T80" i="2" a="1"/>
  <c r="W72" i="2" a="1"/>
  <c r="U79" i="2" a="1"/>
  <c r="AA77" i="2" a="1"/>
  <c r="AC75" i="2" a="1"/>
  <c r="U77" i="2" a="1"/>
  <c r="W78" i="2" a="1"/>
  <c r="X72" i="2" a="1"/>
  <c r="V76" i="2" a="1"/>
  <c r="AB80" i="2" a="1"/>
  <c r="AB76" i="2" a="1"/>
  <c r="AA71" i="2" a="1"/>
  <c r="AA79" i="2" a="1"/>
  <c r="AC74" i="2" a="1"/>
  <c r="Y75" i="2" a="1"/>
  <c r="W76" i="2" a="1"/>
  <c r="X74" i="2" a="1"/>
  <c r="T74" i="2" a="1"/>
  <c r="W80" i="2" a="1"/>
  <c r="AC77" i="2" a="1"/>
  <c r="Z79" i="2" a="1"/>
  <c r="U73" i="2" a="1"/>
  <c r="Z78" i="2" a="1"/>
  <c r="T77" i="2" a="1"/>
  <c r="AC80" i="2" a="1"/>
  <c r="U71" i="2" a="1"/>
  <c r="AB71" i="2" a="1"/>
  <c r="V74" i="2" a="1"/>
  <c r="T79" i="2" a="1"/>
  <c r="Y71" i="2" a="1"/>
  <c r="AB74" i="2" a="1"/>
  <c r="U78" i="2" a="1"/>
  <c r="X79" i="2" a="1"/>
  <c r="T72" i="2" a="1"/>
  <c r="AA78" i="2" a="1"/>
  <c r="Z72" i="2" a="1"/>
  <c r="Y79" i="2" a="1"/>
  <c r="U74" i="2" a="1"/>
  <c r="X76" i="2" a="1"/>
  <c r="AB75" i="2" a="1"/>
  <c r="X71" i="2" a="1"/>
  <c r="AC71" i="2" a="1"/>
  <c r="AA74" i="2" a="1"/>
  <c r="Y72" i="2" a="1"/>
  <c r="Z71" i="2" a="1"/>
  <c r="AC78" i="2" a="1"/>
  <c r="W71" i="2" a="1"/>
  <c r="AA75" i="2" a="1"/>
  <c r="Z75" i="2" a="1"/>
  <c r="X77" i="2" a="1"/>
  <c r="AC73" i="2" a="1"/>
  <c r="U75" i="2" a="1"/>
  <c r="V80" i="2" a="1"/>
  <c r="AB77" i="2" a="1"/>
  <c r="U76" i="2" a="1"/>
  <c r="T78" i="2" a="1"/>
  <c r="X80" i="2" a="1"/>
  <c r="W77" i="2" a="1"/>
  <c r="AA72" i="2" a="1"/>
  <c r="Z80" i="2" a="1"/>
  <c r="AB78" i="2" a="1"/>
  <c r="AB79" i="2" a="1"/>
  <c r="V71" i="2" a="1"/>
  <c r="U72" i="2" a="1"/>
  <c r="Z76" i="2" a="1"/>
  <c r="Z73" i="2" a="1"/>
  <c r="V77" i="2" a="1"/>
  <c r="V75" i="2" a="1"/>
  <c r="T76" i="2" a="1"/>
  <c r="Z77" i="2" a="1"/>
  <c r="X78" i="2" a="1"/>
  <c r="U80" i="2" a="1"/>
  <c r="AA76" i="2" a="1"/>
  <c r="AC72" i="2" a="1"/>
  <c r="AA73" i="2" a="1"/>
  <c r="Y74" i="2" a="1"/>
  <c r="W75" i="2" a="1"/>
  <c r="V79" i="2" a="1"/>
  <c r="T71" i="2" a="1"/>
  <c r="V72" i="2" a="1"/>
  <c r="T73" i="2" a="1"/>
  <c r="AB73" i="2" a="1"/>
  <c r="Z74" i="2" a="1"/>
  <c r="AC76" i="2" a="1"/>
  <c r="Y73" i="2" a="1"/>
  <c r="W73" i="2" a="1"/>
  <c r="Y76" i="2" a="1"/>
  <c r="Y80" i="2" a="1"/>
  <c r="X73" i="2" a="1"/>
  <c r="X75" i="2" a="1"/>
  <c r="Y78" i="2" a="1"/>
  <c r="AC79" i="2" a="1"/>
  <c r="AA80" i="2" a="1"/>
  <c r="Y77" i="2" a="1"/>
  <c r="W74" i="2" a="1"/>
  <c r="V78" i="2" a="1"/>
  <c r="V73" i="2" a="1"/>
  <c r="T75" i="2" a="1"/>
  <c r="AB72" i="2" a="1"/>
  <c r="AC2" i="4" l="1"/>
  <c r="AD11" i="4" a="1"/>
  <c r="AD11" i="4" s="1"/>
  <c r="AD21" i="4" a="1"/>
  <c r="AD21" i="4" s="1"/>
  <c r="AD31" i="4" a="1"/>
  <c r="AD31" i="4" s="1"/>
  <c r="AD40" i="4" a="1"/>
  <c r="AD40" i="4" s="1"/>
  <c r="AD49" i="4" a="1"/>
  <c r="AD49" i="4" s="1"/>
  <c r="AD58" i="4" a="1"/>
  <c r="AD58" i="4" s="1"/>
  <c r="AD67" i="4" a="1"/>
  <c r="AD67" i="4" s="1"/>
  <c r="AD76" i="4" a="1"/>
  <c r="AD76" i="4" s="1"/>
  <c r="AD86" i="4" a="1"/>
  <c r="AD86" i="4" s="1"/>
  <c r="AD95" i="4" a="1"/>
  <c r="AD95" i="4" s="1"/>
  <c r="AD104" i="4" a="1"/>
  <c r="AD104" i="4" s="1"/>
  <c r="AD113" i="4" a="1"/>
  <c r="AD113" i="4" s="1"/>
  <c r="AD122" i="4" a="1"/>
  <c r="AD122" i="4" s="1"/>
  <c r="AD131" i="4" a="1"/>
  <c r="AD131" i="4" s="1"/>
  <c r="AD140" i="4" a="1"/>
  <c r="AD140" i="4" s="1"/>
  <c r="AD150" i="4" a="1"/>
  <c r="AD150" i="4" s="1"/>
  <c r="AD159" i="4" a="1"/>
  <c r="AD159" i="4" s="1"/>
  <c r="AD168" i="4" a="1"/>
  <c r="AD168" i="4" s="1"/>
  <c r="AD177" i="4" a="1"/>
  <c r="AD177" i="4" s="1"/>
  <c r="AD196" i="4" a="1"/>
  <c r="AD196" i="4" s="1"/>
  <c r="AD207" i="4" a="1"/>
  <c r="AD207" i="4" s="1"/>
  <c r="AD226" i="4" a="1"/>
  <c r="AD226" i="4" s="1"/>
  <c r="AD236" i="4" a="1"/>
  <c r="AD236" i="4" s="1"/>
  <c r="AD249" i="4" a="1"/>
  <c r="AD249" i="4" s="1"/>
  <c r="AB6" i="4" a="1"/>
  <c r="AB6" i="4" s="1"/>
  <c r="AB16" i="4" a="1"/>
  <c r="AB16" i="4" s="1"/>
  <c r="AB36" i="4" a="1"/>
  <c r="AB36" i="4" s="1"/>
  <c r="AB47" i="4" a="1"/>
  <c r="AB47" i="4" s="1"/>
  <c r="AB66" i="4" a="1"/>
  <c r="AB66" i="4" s="1"/>
  <c r="AB86" i="4" a="1"/>
  <c r="AB86" i="4" s="1"/>
  <c r="AB96" i="4" a="1"/>
  <c r="AB96" i="4" s="1"/>
  <c r="AB115" i="4" a="1"/>
  <c r="AB115" i="4" s="1"/>
  <c r="AB125" i="4" a="1"/>
  <c r="AB125" i="4" s="1"/>
  <c r="AB145" i="4" a="1"/>
  <c r="AB145" i="4" s="1"/>
  <c r="AB164" i="4" a="1"/>
  <c r="AB164" i="4" s="1"/>
  <c r="AB175" i="4" a="1"/>
  <c r="AB175" i="4" s="1"/>
  <c r="AB194" i="4" a="1"/>
  <c r="AB194" i="4" s="1"/>
  <c r="AB214" i="4" a="1"/>
  <c r="AB214" i="4" s="1"/>
  <c r="AB224" i="4" a="1"/>
  <c r="AB224" i="4" s="1"/>
  <c r="AB234" i="4" a="1"/>
  <c r="AB234" i="4" s="1"/>
  <c r="AB247" i="4" a="1"/>
  <c r="AB247" i="4" s="1"/>
  <c r="AB165" i="4" a="1"/>
  <c r="AB165" i="4" s="1"/>
  <c r="AB215" i="4" a="1"/>
  <c r="AB215" i="4" s="1"/>
  <c r="AB248" i="4" a="1"/>
  <c r="AB248" i="4" s="1"/>
  <c r="AB77" i="4" a="1"/>
  <c r="AB77" i="4" s="1"/>
  <c r="AB146" i="4" a="1"/>
  <c r="AB146" i="4" s="1"/>
  <c r="AB176" i="4" a="1"/>
  <c r="AB176" i="4" s="1"/>
  <c r="AB205" i="4" a="1"/>
  <c r="AB205" i="4" s="1"/>
  <c r="AB249" i="4" a="1"/>
  <c r="AB249" i="4" s="1"/>
  <c r="AB251" i="4" a="1"/>
  <c r="AB251" i="4" s="1"/>
  <c r="AB252" i="4" a="1"/>
  <c r="AB252" i="4" s="1"/>
  <c r="AD256" i="4" a="1"/>
  <c r="AD256" i="4" s="1"/>
  <c r="AB71" i="4" a="1"/>
  <c r="AB71" i="4" s="1"/>
  <c r="AB218" i="4" a="1"/>
  <c r="AB218" i="4" s="1"/>
  <c r="AD44" i="4" a="1"/>
  <c r="AD44" i="4" s="1"/>
  <c r="AD99" i="4" a="1"/>
  <c r="AD99" i="4" s="1"/>
  <c r="AD145" i="4" a="1"/>
  <c r="AD145" i="4" s="1"/>
  <c r="AD211" i="4" a="1"/>
  <c r="AD211" i="4" s="1"/>
  <c r="AB61" i="4" a="1"/>
  <c r="AB61" i="4" s="1"/>
  <c r="AB179" i="4" a="1"/>
  <c r="AB179" i="4" s="1"/>
  <c r="AD45" i="4" a="1"/>
  <c r="AD45" i="4" s="1"/>
  <c r="AD258" i="4" a="1"/>
  <c r="AD258" i="4" s="1"/>
  <c r="AB101" i="4" a="1"/>
  <c r="AB101" i="4" s="1"/>
  <c r="AC258" i="4"/>
  <c r="AD12" i="4" a="1"/>
  <c r="AD12" i="4" s="1"/>
  <c r="AD77" i="4" a="1"/>
  <c r="AD77" i="4" s="1"/>
  <c r="AD141" i="4" a="1"/>
  <c r="AD141" i="4" s="1"/>
  <c r="AD187" i="4" a="1"/>
  <c r="AD187" i="4" s="1"/>
  <c r="AD197" i="4" a="1"/>
  <c r="AD197" i="4" s="1"/>
  <c r="AD217" i="4" a="1"/>
  <c r="AD217" i="4" s="1"/>
  <c r="AD237" i="4" a="1"/>
  <c r="AD237" i="4" s="1"/>
  <c r="AD250" i="4" a="1"/>
  <c r="AD250" i="4" s="1"/>
  <c r="AB27" i="4" a="1"/>
  <c r="AB27" i="4" s="1"/>
  <c r="AB37" i="4" a="1"/>
  <c r="AB37" i="4" s="1"/>
  <c r="AB57" i="4" a="1"/>
  <c r="AB57" i="4" s="1"/>
  <c r="AB76" i="4" a="1"/>
  <c r="AB76" i="4" s="1"/>
  <c r="AB87" i="4" a="1"/>
  <c r="AB87" i="4" s="1"/>
  <c r="AB106" i="4" a="1"/>
  <c r="AB106" i="4" s="1"/>
  <c r="AB126" i="4" a="1"/>
  <c r="AB126" i="4" s="1"/>
  <c r="AB136" i="4" a="1"/>
  <c r="AB136" i="4" s="1"/>
  <c r="AB155" i="4" a="1"/>
  <c r="AB155" i="4" s="1"/>
  <c r="AB185" i="4" a="1"/>
  <c r="AB185" i="4" s="1"/>
  <c r="AB204" i="4" a="1"/>
  <c r="AB204" i="4" s="1"/>
  <c r="AB235" i="4" a="1"/>
  <c r="AB235" i="4" s="1"/>
  <c r="AB237" i="4" a="1"/>
  <c r="AB237" i="4" s="1"/>
  <c r="AD181" i="4" a="1"/>
  <c r="AD181" i="4" s="1"/>
  <c r="AB110" i="4" a="1"/>
  <c r="AB110" i="4" s="1"/>
  <c r="AB188" i="4" a="1"/>
  <c r="AB188" i="4" s="1"/>
  <c r="AD26" i="4" a="1"/>
  <c r="AD26" i="4" s="1"/>
  <c r="AD72" i="4" a="1"/>
  <c r="AD72" i="4" s="1"/>
  <c r="AD136" i="4" a="1"/>
  <c r="AD136" i="4" s="1"/>
  <c r="AD257" i="4" a="1"/>
  <c r="AD257" i="4" s="1"/>
  <c r="AB81" i="4" a="1"/>
  <c r="AB81" i="4" s="1"/>
  <c r="AB228" i="4" a="1"/>
  <c r="AB228" i="4" s="1"/>
  <c r="AD183" i="4" a="1"/>
  <c r="AD183" i="4" s="1"/>
  <c r="AB11" i="4" a="1"/>
  <c r="AB11" i="4" s="1"/>
  <c r="AB91" i="4" a="1"/>
  <c r="AB91" i="4" s="1"/>
  <c r="AD3" i="4" a="1"/>
  <c r="AD3" i="4" s="1"/>
  <c r="AD13" i="4" a="1"/>
  <c r="AD13" i="4" s="1"/>
  <c r="AD22" i="4" a="1"/>
  <c r="AD22" i="4" s="1"/>
  <c r="AD32" i="4" a="1"/>
  <c r="AD32" i="4" s="1"/>
  <c r="AD41" i="4" a="1"/>
  <c r="AD41" i="4" s="1"/>
  <c r="AD50" i="4" a="1"/>
  <c r="AD50" i="4" s="1"/>
  <c r="AD59" i="4" a="1"/>
  <c r="AD59" i="4" s="1"/>
  <c r="AD68" i="4" a="1"/>
  <c r="AD68" i="4" s="1"/>
  <c r="AD78" i="4" a="1"/>
  <c r="AD78" i="4" s="1"/>
  <c r="AD87" i="4" a="1"/>
  <c r="AD87" i="4" s="1"/>
  <c r="AD96" i="4" a="1"/>
  <c r="AD96" i="4" s="1"/>
  <c r="AD105" i="4" a="1"/>
  <c r="AD105" i="4" s="1"/>
  <c r="AD114" i="4" a="1"/>
  <c r="AD114" i="4" s="1"/>
  <c r="AD123" i="4" a="1"/>
  <c r="AD123" i="4" s="1"/>
  <c r="AD132" i="4" a="1"/>
  <c r="AD132" i="4" s="1"/>
  <c r="AD142" i="4" a="1"/>
  <c r="AD142" i="4" s="1"/>
  <c r="AD151" i="4" a="1"/>
  <c r="AD151" i="4" s="1"/>
  <c r="AD160" i="4" a="1"/>
  <c r="AD160" i="4" s="1"/>
  <c r="AD169" i="4" a="1"/>
  <c r="AD169" i="4" s="1"/>
  <c r="AD178" i="4" a="1"/>
  <c r="AD178" i="4" s="1"/>
  <c r="AD198" i="4" a="1"/>
  <c r="AD198" i="4" s="1"/>
  <c r="AD208" i="4" a="1"/>
  <c r="AD208" i="4" s="1"/>
  <c r="AD227" i="4" a="1"/>
  <c r="AD227" i="4" s="1"/>
  <c r="AD238" i="4" a="1"/>
  <c r="AD238" i="4" s="1"/>
  <c r="AD251" i="4" a="1"/>
  <c r="AD251" i="4" s="1"/>
  <c r="AB7" i="4" a="1"/>
  <c r="AB7" i="4" s="1"/>
  <c r="AB17" i="4" a="1"/>
  <c r="AB17" i="4" s="1"/>
  <c r="AB38" i="4" a="1"/>
  <c r="AB38" i="4" s="1"/>
  <c r="AB48" i="4" a="1"/>
  <c r="AB48" i="4" s="1"/>
  <c r="AB67" i="4" a="1"/>
  <c r="AB67" i="4" s="1"/>
  <c r="AB97" i="4" a="1"/>
  <c r="AB97" i="4" s="1"/>
  <c r="AB116" i="4" a="1"/>
  <c r="AB116" i="4" s="1"/>
  <c r="AB127" i="4" a="1"/>
  <c r="AB127" i="4" s="1"/>
  <c r="AB166" i="4" a="1"/>
  <c r="AB166" i="4" s="1"/>
  <c r="AB195" i="4" a="1"/>
  <c r="AB195" i="4" s="1"/>
  <c r="AB225" i="4" a="1"/>
  <c r="AB225" i="4" s="1"/>
  <c r="AB208" i="4" a="1"/>
  <c r="AB208" i="4" s="1"/>
  <c r="AD201" i="4" a="1"/>
  <c r="AD201" i="4" s="1"/>
  <c r="AB41" i="4" a="1"/>
  <c r="AB41" i="4" s="1"/>
  <c r="AB139" i="4" a="1"/>
  <c r="AB139" i="4" s="1"/>
  <c r="AB240" i="4" a="1"/>
  <c r="AB240" i="4" s="1"/>
  <c r="AD63" i="4" a="1"/>
  <c r="AD63" i="4" s="1"/>
  <c r="AD118" i="4" a="1"/>
  <c r="AD118" i="4" s="1"/>
  <c r="AD182" i="4" a="1"/>
  <c r="AD182" i="4" s="1"/>
  <c r="AB21" i="4" a="1"/>
  <c r="AB21" i="4" s="1"/>
  <c r="AB150" i="4" a="1"/>
  <c r="AB150" i="4" s="1"/>
  <c r="AD222" i="4" a="1"/>
  <c r="AD222" i="4" s="1"/>
  <c r="AB62" i="4" a="1"/>
  <c r="AB62" i="4" s="1"/>
  <c r="AB121" i="4" a="1"/>
  <c r="AB121" i="4" s="1"/>
  <c r="AD4" i="4" a="1"/>
  <c r="AD4" i="4" s="1"/>
  <c r="AD69" i="4" a="1"/>
  <c r="AD69" i="4" s="1"/>
  <c r="AD133" i="4" a="1"/>
  <c r="AD133" i="4" s="1"/>
  <c r="AD188" i="4" a="1"/>
  <c r="AD188" i="4" s="1"/>
  <c r="AD199" i="4" a="1"/>
  <c r="AD199" i="4" s="1"/>
  <c r="AD218" i="4" a="1"/>
  <c r="AD218" i="4" s="1"/>
  <c r="AD239" i="4" a="1"/>
  <c r="AD239" i="4" s="1"/>
  <c r="AD252" i="4" a="1"/>
  <c r="AD252" i="4" s="1"/>
  <c r="AB8" i="4" a="1"/>
  <c r="AB8" i="4" s="1"/>
  <c r="AB28" i="4" a="1"/>
  <c r="AB28" i="4" s="1"/>
  <c r="AB39" i="4" a="1"/>
  <c r="AB39" i="4" s="1"/>
  <c r="AB58" i="4" a="1"/>
  <c r="AB58" i="4" s="1"/>
  <c r="AB78" i="4" a="1"/>
  <c r="AB78" i="4" s="1"/>
  <c r="AB88" i="4" a="1"/>
  <c r="AB88" i="4" s="1"/>
  <c r="AB107" i="4" a="1"/>
  <c r="AB107" i="4" s="1"/>
  <c r="AB117" i="4" a="1"/>
  <c r="AB117" i="4" s="1"/>
  <c r="AB137" i="4" a="1"/>
  <c r="AB137" i="4" s="1"/>
  <c r="AB156" i="4" a="1"/>
  <c r="AB156" i="4" s="1"/>
  <c r="AB167" i="4" a="1"/>
  <c r="AB167" i="4" s="1"/>
  <c r="AB186" i="4" a="1"/>
  <c r="AB186" i="4" s="1"/>
  <c r="AB206" i="4" a="1"/>
  <c r="AB206" i="4" s="1"/>
  <c r="AB216" i="4" a="1"/>
  <c r="AB216" i="4" s="1"/>
  <c r="AB236" i="4" a="1"/>
  <c r="AB236" i="4" s="1"/>
  <c r="AB250" i="4" a="1"/>
  <c r="AB250" i="4" s="1"/>
  <c r="AB207" i="4" a="1"/>
  <c r="AB207" i="4" s="1"/>
  <c r="AB148" i="4" a="1"/>
  <c r="AB148" i="4" s="1"/>
  <c r="AD231" i="4" a="1"/>
  <c r="AD231" i="4" s="1"/>
  <c r="AB60" i="4" a="1"/>
  <c r="AB60" i="4" s="1"/>
  <c r="AB149" i="4" a="1"/>
  <c r="AB149" i="4" s="1"/>
  <c r="AB253" i="4" a="1"/>
  <c r="AB253" i="4" s="1"/>
  <c r="AD54" i="4" a="1"/>
  <c r="AD54" i="4" s="1"/>
  <c r="AD127" i="4" a="1"/>
  <c r="AD127" i="4" s="1"/>
  <c r="AD192" i="4" a="1"/>
  <c r="AD192" i="4" s="1"/>
  <c r="AB51" i="4" a="1"/>
  <c r="AB51" i="4" s="1"/>
  <c r="AB160" i="4" a="1"/>
  <c r="AB160" i="4" s="1"/>
  <c r="AB254" i="4" a="1"/>
  <c r="AB254" i="4" s="1"/>
  <c r="AD232" i="4" a="1"/>
  <c r="AD232" i="4" s="1"/>
  <c r="AB72" i="4" a="1"/>
  <c r="AB72" i="4" s="1"/>
  <c r="AD5" i="4" a="1"/>
  <c r="AD5" i="4" s="1"/>
  <c r="AD14" i="4" a="1"/>
  <c r="AD14" i="4" s="1"/>
  <c r="AD23" i="4" a="1"/>
  <c r="AD23" i="4" s="1"/>
  <c r="AD33" i="4" a="1"/>
  <c r="AD33" i="4" s="1"/>
  <c r="AD42" i="4" a="1"/>
  <c r="AD42" i="4" s="1"/>
  <c r="AD51" i="4" a="1"/>
  <c r="AD51" i="4" s="1"/>
  <c r="AD60" i="4" a="1"/>
  <c r="AD60" i="4" s="1"/>
  <c r="AD70" i="4" a="1"/>
  <c r="AD70" i="4" s="1"/>
  <c r="AD79" i="4" a="1"/>
  <c r="AD79" i="4" s="1"/>
  <c r="AD88" i="4" a="1"/>
  <c r="AD88" i="4" s="1"/>
  <c r="AD97" i="4" a="1"/>
  <c r="AD97" i="4" s="1"/>
  <c r="AD106" i="4" a="1"/>
  <c r="AD106" i="4" s="1"/>
  <c r="AD115" i="4" a="1"/>
  <c r="AD115" i="4" s="1"/>
  <c r="AD124" i="4" a="1"/>
  <c r="AD124" i="4" s="1"/>
  <c r="AD134" i="4" a="1"/>
  <c r="AD134" i="4" s="1"/>
  <c r="AD143" i="4" a="1"/>
  <c r="AD143" i="4" s="1"/>
  <c r="AD152" i="4" a="1"/>
  <c r="AD152" i="4" s="1"/>
  <c r="AD161" i="4" a="1"/>
  <c r="AD161" i="4" s="1"/>
  <c r="AD170" i="4" a="1"/>
  <c r="AD170" i="4" s="1"/>
  <c r="AD179" i="4" a="1"/>
  <c r="AD179" i="4" s="1"/>
  <c r="AD189" i="4" a="1"/>
  <c r="AD189" i="4" s="1"/>
  <c r="AD209" i="4" a="1"/>
  <c r="AD209" i="4" s="1"/>
  <c r="AD228" i="4" a="1"/>
  <c r="AD228" i="4" s="1"/>
  <c r="AD253" i="4" a="1"/>
  <c r="AD253" i="4" s="1"/>
  <c r="AB18" i="4" a="1"/>
  <c r="AB18" i="4" s="1"/>
  <c r="AB29" i="4" a="1"/>
  <c r="AB29" i="4" s="1"/>
  <c r="AB49" i="4" a="1"/>
  <c r="AB49" i="4" s="1"/>
  <c r="AB68" i="4" a="1"/>
  <c r="AB68" i="4" s="1"/>
  <c r="AB79" i="4" a="1"/>
  <c r="AB79" i="4" s="1"/>
  <c r="AB98" i="4" a="1"/>
  <c r="AB98" i="4" s="1"/>
  <c r="AB118" i="4" a="1"/>
  <c r="AB118" i="4" s="1"/>
  <c r="AB128" i="4" a="1"/>
  <c r="AB128" i="4" s="1"/>
  <c r="AB147" i="4" a="1"/>
  <c r="AB147" i="4" s="1"/>
  <c r="AB157" i="4" a="1"/>
  <c r="AB157" i="4" s="1"/>
  <c r="AB177" i="4" a="1"/>
  <c r="AB177" i="4" s="1"/>
  <c r="AB196" i="4" a="1"/>
  <c r="AB196" i="4" s="1"/>
  <c r="AB226" i="4" a="1"/>
  <c r="AB226" i="4" s="1"/>
  <c r="AB227" i="4" a="1"/>
  <c r="AB227" i="4" s="1"/>
  <c r="AD220" i="4" a="1"/>
  <c r="AD220" i="4" s="1"/>
  <c r="AB90" i="4" a="1"/>
  <c r="AB90" i="4" s="1"/>
  <c r="AB169" i="4" a="1"/>
  <c r="AB169" i="4" s="1"/>
  <c r="AD16" i="4" a="1"/>
  <c r="AD16" i="4" s="1"/>
  <c r="AD108" i="4" a="1"/>
  <c r="AD108" i="4" s="1"/>
  <c r="AD172" i="4" a="1"/>
  <c r="AD172" i="4" s="1"/>
  <c r="AB32" i="4" a="1"/>
  <c r="AB32" i="4" s="1"/>
  <c r="AB111" i="4" a="1"/>
  <c r="AB111" i="4" s="1"/>
  <c r="AD109" i="4" a="1"/>
  <c r="AD109" i="4" s="1"/>
  <c r="AD243" i="4" a="1"/>
  <c r="AD243" i="4" s="1"/>
  <c r="AB140" i="4" a="1"/>
  <c r="AB140" i="4" s="1"/>
  <c r="AD61" i="4" a="1"/>
  <c r="AD61" i="4" s="1"/>
  <c r="AD125" i="4" a="1"/>
  <c r="AD125" i="4" s="1"/>
  <c r="AD190" i="4" a="1"/>
  <c r="AD190" i="4" s="1"/>
  <c r="AD200" i="4" a="1"/>
  <c r="AD200" i="4" s="1"/>
  <c r="AD219" i="4" a="1"/>
  <c r="AD219" i="4" s="1"/>
  <c r="AD229" i="4" a="1"/>
  <c r="AD229" i="4" s="1"/>
  <c r="AD240" i="4" a="1"/>
  <c r="AD240" i="4" s="1"/>
  <c r="AD254" i="4" a="1"/>
  <c r="AD254" i="4" s="1"/>
  <c r="AB9" i="4" a="1"/>
  <c r="AB9" i="4" s="1"/>
  <c r="AB30" i="4" a="1"/>
  <c r="AB30" i="4" s="1"/>
  <c r="AB40" i="4" a="1"/>
  <c r="AB40" i="4" s="1"/>
  <c r="AB59" i="4" a="1"/>
  <c r="AB59" i="4" s="1"/>
  <c r="AB69" i="4" a="1"/>
  <c r="AB69" i="4" s="1"/>
  <c r="AB89" i="4" a="1"/>
  <c r="AB89" i="4" s="1"/>
  <c r="AB108" i="4" a="1"/>
  <c r="AB108" i="4" s="1"/>
  <c r="AB119" i="4" a="1"/>
  <c r="AB119" i="4" s="1"/>
  <c r="AB138" i="4" a="1"/>
  <c r="AB138" i="4" s="1"/>
  <c r="AB158" i="4" a="1"/>
  <c r="AB158" i="4" s="1"/>
  <c r="AB168" i="4" a="1"/>
  <c r="AB168" i="4" s="1"/>
  <c r="AB187" i="4" a="1"/>
  <c r="AB187" i="4" s="1"/>
  <c r="AB197" i="4" a="1"/>
  <c r="AB197" i="4" s="1"/>
  <c r="AB217" i="4" a="1"/>
  <c r="AB217" i="4" s="1"/>
  <c r="AB238" i="4" a="1"/>
  <c r="AB238" i="4" s="1"/>
  <c r="AD71" i="4" a="1"/>
  <c r="AD71" i="4" s="1"/>
  <c r="AD135" i="4" a="1"/>
  <c r="AD135" i="4" s="1"/>
  <c r="AD153" i="4" a="1"/>
  <c r="AD153" i="4" s="1"/>
  <c r="AD171" i="4" a="1"/>
  <c r="AD171" i="4" s="1"/>
  <c r="AD191" i="4" a="1"/>
  <c r="AD191" i="4" s="1"/>
  <c r="AD230" i="4" a="1"/>
  <c r="AD230" i="4" s="1"/>
  <c r="AD255" i="4" a="1"/>
  <c r="AD255" i="4" s="1"/>
  <c r="AB31" i="4" a="1"/>
  <c r="AB31" i="4" s="1"/>
  <c r="AB70" i="4" a="1"/>
  <c r="AB70" i="4" s="1"/>
  <c r="AB99" i="4" a="1"/>
  <c r="AB99" i="4" s="1"/>
  <c r="AB129" i="4" a="1"/>
  <c r="AB129" i="4" s="1"/>
  <c r="AB159" i="4" a="1"/>
  <c r="AB159" i="4" s="1"/>
  <c r="AB198" i="4" a="1"/>
  <c r="AB198" i="4" s="1"/>
  <c r="AD117" i="4" a="1"/>
  <c r="AD117" i="4" s="1"/>
  <c r="AB10" i="4" a="1"/>
  <c r="AB10" i="4" s="1"/>
  <c r="AB120" i="4" a="1"/>
  <c r="AB120" i="4" s="1"/>
  <c r="AD7" i="4" a="1"/>
  <c r="AD7" i="4" s="1"/>
  <c r="AD81" i="4" a="1"/>
  <c r="AD81" i="4" s="1"/>
  <c r="AD154" i="4" a="1"/>
  <c r="AD154" i="4" s="1"/>
  <c r="AD221" i="4" a="1"/>
  <c r="AD221" i="4" s="1"/>
  <c r="AB100" i="4" a="1"/>
  <c r="AB100" i="4" s="1"/>
  <c r="AB189" i="4" a="1"/>
  <c r="AB189" i="4" s="1"/>
  <c r="AD173" i="4" a="1"/>
  <c r="AD173" i="4" s="1"/>
  <c r="AB22" i="4" a="1"/>
  <c r="AB22" i="4" s="1"/>
  <c r="AD6" i="4" a="1"/>
  <c r="AD6" i="4" s="1"/>
  <c r="AD15" i="4" a="1"/>
  <c r="AD15" i="4" s="1"/>
  <c r="AD24" i="4" a="1"/>
  <c r="AD24" i="4" s="1"/>
  <c r="AD34" i="4" a="1"/>
  <c r="AD34" i="4" s="1"/>
  <c r="AD43" i="4" a="1"/>
  <c r="AD43" i="4" s="1"/>
  <c r="AD52" i="4" a="1"/>
  <c r="AD52" i="4" s="1"/>
  <c r="AD62" i="4" a="1"/>
  <c r="AD62" i="4" s="1"/>
  <c r="AD80" i="4" a="1"/>
  <c r="AD80" i="4" s="1"/>
  <c r="AD89" i="4" a="1"/>
  <c r="AD89" i="4" s="1"/>
  <c r="AD98" i="4" a="1"/>
  <c r="AD98" i="4" s="1"/>
  <c r="AD107" i="4" a="1"/>
  <c r="AD107" i="4" s="1"/>
  <c r="AD116" i="4" a="1"/>
  <c r="AD116" i="4" s="1"/>
  <c r="AD126" i="4" a="1"/>
  <c r="AD126" i="4" s="1"/>
  <c r="AD144" i="4" a="1"/>
  <c r="AD144" i="4" s="1"/>
  <c r="AD162" i="4" a="1"/>
  <c r="AD162" i="4" s="1"/>
  <c r="AD180" i="4" a="1"/>
  <c r="AD180" i="4" s="1"/>
  <c r="AD210" i="4" a="1"/>
  <c r="AD210" i="4" s="1"/>
  <c r="AD241" i="4" a="1"/>
  <c r="AD241" i="4" s="1"/>
  <c r="AB19" i="4" a="1"/>
  <c r="AB19" i="4" s="1"/>
  <c r="AB50" i="4" a="1"/>
  <c r="AB50" i="4" s="1"/>
  <c r="AB80" i="4" a="1"/>
  <c r="AB80" i="4" s="1"/>
  <c r="AB109" i="4" a="1"/>
  <c r="AB109" i="4" s="1"/>
  <c r="AB178" i="4" a="1"/>
  <c r="AB178" i="4" s="1"/>
  <c r="AB239" i="4" a="1"/>
  <c r="AB239" i="4" s="1"/>
  <c r="AD53" i="4" a="1"/>
  <c r="AD53" i="4" s="1"/>
  <c r="AB20" i="4" a="1"/>
  <c r="AB20" i="4" s="1"/>
  <c r="AB199" i="4" a="1"/>
  <c r="AB199" i="4" s="1"/>
  <c r="AD35" i="4" a="1"/>
  <c r="AD35" i="4" s="1"/>
  <c r="AD90" i="4" a="1"/>
  <c r="AD90" i="4" s="1"/>
  <c r="AD163" i="4" a="1"/>
  <c r="AD163" i="4" s="1"/>
  <c r="AD242" i="4" a="1"/>
  <c r="AD242" i="4" s="1"/>
  <c r="AB130" i="4" a="1"/>
  <c r="AB130" i="4" s="1"/>
  <c r="AB209" i="4" a="1"/>
  <c r="AB209" i="4" s="1"/>
  <c r="AD202" i="4" a="1"/>
  <c r="AD202" i="4" s="1"/>
  <c r="AB42" i="4" a="1"/>
  <c r="AB42" i="4" s="1"/>
  <c r="AD8" i="4" a="1"/>
  <c r="AD8" i="4" s="1"/>
  <c r="AD30" i="4" a="1"/>
  <c r="AD30" i="4" s="1"/>
  <c r="AD56" i="4" a="1"/>
  <c r="AD56" i="4" s="1"/>
  <c r="AD82" i="4" a="1"/>
  <c r="AD82" i="4" s="1"/>
  <c r="AD103" i="4" a="1"/>
  <c r="AD103" i="4" s="1"/>
  <c r="AD129" i="4" a="1"/>
  <c r="AD129" i="4" s="1"/>
  <c r="AD155" i="4" a="1"/>
  <c r="AD155" i="4" s="1"/>
  <c r="AD176" i="4" a="1"/>
  <c r="AD176" i="4" s="1"/>
  <c r="AD233" i="4" a="1"/>
  <c r="AD233" i="4" s="1"/>
  <c r="AB4" i="4" a="1"/>
  <c r="AB4" i="4" s="1"/>
  <c r="AB34" i="4" a="1"/>
  <c r="AB34" i="4" s="1"/>
  <c r="AB63" i="4" a="1"/>
  <c r="AB63" i="4" s="1"/>
  <c r="AB84" i="4" a="1"/>
  <c r="AB84" i="4" s="1"/>
  <c r="AB134" i="4" a="1"/>
  <c r="AB134" i="4" s="1"/>
  <c r="AB161" i="4" a="1"/>
  <c r="AB161" i="4" s="1"/>
  <c r="AB182" i="4" a="1"/>
  <c r="AB182" i="4" s="1"/>
  <c r="AB229" i="4" a="1"/>
  <c r="AB229" i="4" s="1"/>
  <c r="AB257" i="4" a="1"/>
  <c r="AB257" i="4" s="1"/>
  <c r="AB113" i="4" a="1"/>
  <c r="AB113" i="4" s="1"/>
  <c r="AB183" i="4" a="1"/>
  <c r="AB183" i="4" s="1"/>
  <c r="AB230" i="4" a="1"/>
  <c r="AB230" i="4" s="1"/>
  <c r="AB35" i="4" a="1"/>
  <c r="AB35" i="4" s="1"/>
  <c r="AB162" i="4" a="1"/>
  <c r="AB162" i="4" s="1"/>
  <c r="AD247" i="4" a="1"/>
  <c r="AD247" i="4" s="1"/>
  <c r="AD47" i="4" a="1"/>
  <c r="AD47" i="4" s="1"/>
  <c r="AD223" i="4" a="1"/>
  <c r="AD223" i="4" s="1"/>
  <c r="AB53" i="4" a="1"/>
  <c r="AB53" i="4" s="1"/>
  <c r="AD100" i="4" a="1"/>
  <c r="AD100" i="4" s="1"/>
  <c r="AD195" i="4" a="1"/>
  <c r="AD195" i="4" s="1"/>
  <c r="AB174" i="4" a="1"/>
  <c r="AB174" i="4" s="1"/>
  <c r="AB105" i="4" a="1"/>
  <c r="AB105" i="4" s="1"/>
  <c r="AD102" i="4" a="1"/>
  <c r="AD102" i="4" s="1"/>
  <c r="AB83" i="4" a="1"/>
  <c r="AB83" i="4" s="1"/>
  <c r="AB255" i="4" a="1"/>
  <c r="AB255" i="4" s="1"/>
  <c r="AB133" i="4" a="1"/>
  <c r="AB133" i="4" s="1"/>
  <c r="AD204" i="4" a="1"/>
  <c r="AD204" i="4" s="1"/>
  <c r="AB5" i="4" a="1"/>
  <c r="AB5" i="4" s="1"/>
  <c r="AB85" i="4" a="1"/>
  <c r="AB85" i="4" s="1"/>
  <c r="AB135" i="4" a="1"/>
  <c r="AB135" i="4" s="1"/>
  <c r="AB203" i="4" a="1"/>
  <c r="AB203" i="4" s="1"/>
  <c r="AB258" i="4" a="1"/>
  <c r="AB258" i="4" s="1"/>
  <c r="AB46" i="4" a="1"/>
  <c r="AB46" i="4" s="1"/>
  <c r="AD73" i="4" a="1"/>
  <c r="AD73" i="4" s="1"/>
  <c r="AD20" i="4" a="1"/>
  <c r="AD20" i="4" s="1"/>
  <c r="AB200" i="4" a="1"/>
  <c r="AB200" i="4" s="1"/>
  <c r="AD121" i="4" a="1"/>
  <c r="AD121" i="4" s="1"/>
  <c r="AB153" i="4" a="1"/>
  <c r="AB153" i="4" s="1"/>
  <c r="AD101" i="4" a="1"/>
  <c r="AD101" i="4" s="1"/>
  <c r="AB246" i="4" a="1"/>
  <c r="AB246" i="4" s="1"/>
  <c r="AD175" i="4" a="1"/>
  <c r="AD175" i="4" s="1"/>
  <c r="AB180" i="4" a="1"/>
  <c r="AB180" i="4" s="1"/>
  <c r="AB3" i="4" a="1"/>
  <c r="AB3" i="4" s="1"/>
  <c r="AD9" i="4" a="1"/>
  <c r="AD9" i="4" s="1"/>
  <c r="AD36" i="4" a="1"/>
  <c r="AD36" i="4" s="1"/>
  <c r="AD57" i="4" a="1"/>
  <c r="AD57" i="4" s="1"/>
  <c r="AD83" i="4" a="1"/>
  <c r="AD83" i="4" s="1"/>
  <c r="AD110" i="4" a="1"/>
  <c r="AD110" i="4" s="1"/>
  <c r="AD130" i="4" a="1"/>
  <c r="AD130" i="4" s="1"/>
  <c r="AD156" i="4" a="1"/>
  <c r="AD156" i="4" s="1"/>
  <c r="AD205" i="4" a="1"/>
  <c r="AD205" i="4" s="1"/>
  <c r="AD234" i="4" a="1"/>
  <c r="AD234" i="4" s="1"/>
  <c r="AB12" i="4" a="1"/>
  <c r="AB12" i="4" s="1"/>
  <c r="AB64" i="4" a="1"/>
  <c r="AB64" i="4" s="1"/>
  <c r="AB141" i="4" a="1"/>
  <c r="AB141" i="4" s="1"/>
  <c r="AB231" i="4" a="1"/>
  <c r="AB231" i="4" s="1"/>
  <c r="AB23" i="4" a="1"/>
  <c r="AB23" i="4" s="1"/>
  <c r="AD94" i="4" a="1"/>
  <c r="AD94" i="4" s="1"/>
  <c r="AB52" i="4" a="1"/>
  <c r="AB52" i="4" s="1"/>
  <c r="AB24" i="4" a="1"/>
  <c r="AB24" i="4" s="1"/>
  <c r="AB244" i="4" a="1"/>
  <c r="AB244" i="4" s="1"/>
  <c r="AD174" i="4" a="1"/>
  <c r="AD174" i="4" s="1"/>
  <c r="AB131" i="4" a="1"/>
  <c r="AB131" i="4" s="1"/>
  <c r="AB2" i="4" a="1"/>
  <c r="AB2" i="4" s="1"/>
  <c r="AD28" i="4" a="1"/>
  <c r="AD28" i="4" s="1"/>
  <c r="AD225" i="4" a="1"/>
  <c r="AD225" i="4" s="1"/>
  <c r="AD203" i="4" a="1"/>
  <c r="AD203" i="4" s="1"/>
  <c r="AB202" i="4" a="1"/>
  <c r="AB202" i="4" s="1"/>
  <c r="AD37" i="4" a="1"/>
  <c r="AD37" i="4" s="1"/>
  <c r="AD157" i="4" a="1"/>
  <c r="AD157" i="4" s="1"/>
  <c r="AD184" i="4" a="1"/>
  <c r="AD184" i="4" s="1"/>
  <c r="AD206" i="4" a="1"/>
  <c r="AD206" i="4" s="1"/>
  <c r="AB13" i="4" a="1"/>
  <c r="AB13" i="4" s="1"/>
  <c r="AB92" i="4" a="1"/>
  <c r="AB92" i="4" s="1"/>
  <c r="AB114" i="4" a="1"/>
  <c r="AB114" i="4" s="1"/>
  <c r="AB142" i="4" a="1"/>
  <c r="AB142" i="4" s="1"/>
  <c r="AB184" i="4" a="1"/>
  <c r="AB184" i="4" s="1"/>
  <c r="AB210" i="4" a="1"/>
  <c r="AB210" i="4" s="1"/>
  <c r="AB163" i="4" a="1"/>
  <c r="AB163" i="4" s="1"/>
  <c r="AB74" i="4" a="1"/>
  <c r="AB74" i="4" s="1"/>
  <c r="AD146" i="4" a="1"/>
  <c r="AD146" i="4" s="1"/>
  <c r="AB124" i="4" a="1"/>
  <c r="AB124" i="4" s="1"/>
  <c r="AB173" i="4" a="1"/>
  <c r="AB173" i="4" s="1"/>
  <c r="AD27" i="4" a="1"/>
  <c r="AD27" i="4" s="1"/>
  <c r="AD224" i="4" a="1"/>
  <c r="AD224" i="4" s="1"/>
  <c r="AB221" i="4" a="1"/>
  <c r="AB221" i="4" s="1"/>
  <c r="AB222" i="4" a="1"/>
  <c r="AB222" i="4" s="1"/>
  <c r="AD128" i="4" a="1"/>
  <c r="AD128" i="4" s="1"/>
  <c r="AB223" i="4" a="1"/>
  <c r="AB223" i="4" s="1"/>
  <c r="AD149" i="4" a="1"/>
  <c r="AD149" i="4" s="1"/>
  <c r="AB256" i="4" a="1"/>
  <c r="AB256" i="4" s="1"/>
  <c r="AD10" i="4" a="1"/>
  <c r="AD10" i="4" s="1"/>
  <c r="AD38" i="4" a="1"/>
  <c r="AD38" i="4" s="1"/>
  <c r="AD64" i="4" a="1"/>
  <c r="AD64" i="4" s="1"/>
  <c r="AD84" i="4" a="1"/>
  <c r="AD84" i="4" s="1"/>
  <c r="AD111" i="4" a="1"/>
  <c r="AD111" i="4" s="1"/>
  <c r="AD137" i="4" a="1"/>
  <c r="AD137" i="4" s="1"/>
  <c r="AD158" i="4" a="1"/>
  <c r="AD158" i="4" s="1"/>
  <c r="AD212" i="4" a="1"/>
  <c r="AD212" i="4" s="1"/>
  <c r="AD235" i="4" a="1"/>
  <c r="AD235" i="4" s="1"/>
  <c r="AB14" i="4" a="1"/>
  <c r="AB14" i="4" s="1"/>
  <c r="AB65" i="4" a="1"/>
  <c r="AB65" i="4" s="1"/>
  <c r="AB93" i="4" a="1"/>
  <c r="AB93" i="4" s="1"/>
  <c r="AB143" i="4" a="1"/>
  <c r="AB143" i="4" s="1"/>
  <c r="AB190" i="4" a="1"/>
  <c r="AB190" i="4" s="1"/>
  <c r="AB232" i="4" a="1"/>
  <c r="AB232" i="4" s="1"/>
  <c r="AB103" i="4" a="1"/>
  <c r="AB103" i="4" s="1"/>
  <c r="AD120" i="4" a="1"/>
  <c r="AD120" i="4" s="1"/>
  <c r="AB172" i="4" a="1"/>
  <c r="AB172" i="4" s="1"/>
  <c r="AB75" i="4" a="1"/>
  <c r="AB75" i="4" s="1"/>
  <c r="AD74" i="4" a="1"/>
  <c r="AD74" i="4" s="1"/>
  <c r="AB54" i="4" a="1"/>
  <c r="AB54" i="4" s="1"/>
  <c r="AB245" i="4" a="1"/>
  <c r="AB245" i="4" s="1"/>
  <c r="AB201" i="4" a="1"/>
  <c r="AB201" i="4" s="1"/>
  <c r="AD148" i="4" a="1"/>
  <c r="AD148" i="4" s="1"/>
  <c r="AB154" i="4" a="1"/>
  <c r="AB154" i="4" s="1"/>
  <c r="AB112" i="4" a="1"/>
  <c r="AB112" i="4" s="1"/>
  <c r="AD85" i="4" a="1"/>
  <c r="AD85" i="4" s="1"/>
  <c r="AD185" i="4" a="1"/>
  <c r="AD185" i="4" s="1"/>
  <c r="AD213" i="4" a="1"/>
  <c r="AD213" i="4" s="1"/>
  <c r="AB43" i="4" a="1"/>
  <c r="AB43" i="4" s="1"/>
  <c r="AB94" i="4" a="1"/>
  <c r="AB94" i="4" s="1"/>
  <c r="AB191" i="4" a="1"/>
  <c r="AB191" i="4" s="1"/>
  <c r="AB211" i="4" a="1"/>
  <c r="AB211" i="4" s="1"/>
  <c r="AB144" i="4" a="1"/>
  <c r="AB144" i="4" s="1"/>
  <c r="AD165" i="4" a="1"/>
  <c r="AD165" i="4" s="1"/>
  <c r="AD215" i="4" a="1"/>
  <c r="AD215" i="4" s="1"/>
  <c r="AB44" i="4" a="1"/>
  <c r="AB44" i="4" s="1"/>
  <c r="AB192" i="4" a="1"/>
  <c r="AB192" i="4" s="1"/>
  <c r="AB241" i="4" a="1"/>
  <c r="AB241" i="4" s="1"/>
  <c r="AD46" i="4" a="1"/>
  <c r="AD46" i="4" s="1"/>
  <c r="AD92" i="4" a="1"/>
  <c r="AD92" i="4" s="1"/>
  <c r="AD139" i="4" a="1"/>
  <c r="AD139" i="4" s="1"/>
  <c r="AD193" i="4" a="1"/>
  <c r="AD193" i="4" s="1"/>
  <c r="AD246" i="4" a="1"/>
  <c r="AD246" i="4" s="1"/>
  <c r="AB123" i="4" a="1"/>
  <c r="AB123" i="4" s="1"/>
  <c r="AB171" i="4" a="1"/>
  <c r="AB171" i="4" s="1"/>
  <c r="AB213" i="4" a="1"/>
  <c r="AB213" i="4" s="1"/>
  <c r="AD216" i="4" a="1"/>
  <c r="AD216" i="4" s="1"/>
  <c r="AB193" i="4" a="1"/>
  <c r="AB193" i="4" s="1"/>
  <c r="AB243" i="4" a="1"/>
  <c r="AB243" i="4" s="1"/>
  <c r="AD167" i="4" a="1"/>
  <c r="AD167" i="4" s="1"/>
  <c r="AB152" i="4" a="1"/>
  <c r="AB152" i="4" s="1"/>
  <c r="AD248" i="4" a="1"/>
  <c r="AD248" i="4" s="1"/>
  <c r="AB220" i="4" a="1"/>
  <c r="AB220" i="4" s="1"/>
  <c r="AD147" i="4" a="1"/>
  <c r="AD147" i="4" s="1"/>
  <c r="AB82" i="4" a="1"/>
  <c r="AB82" i="4" s="1"/>
  <c r="AB55" i="4" a="1"/>
  <c r="AB55" i="4" s="1"/>
  <c r="AD55" i="4" a="1"/>
  <c r="AD55" i="4" s="1"/>
  <c r="AB33" i="4" a="1"/>
  <c r="AB33" i="4" s="1"/>
  <c r="AD29" i="4" a="1"/>
  <c r="AD29" i="4" s="1"/>
  <c r="AB181" i="4" a="1"/>
  <c r="AB181" i="4" s="1"/>
  <c r="AD17" i="4" a="1"/>
  <c r="AD17" i="4" s="1"/>
  <c r="AD39" i="4" a="1"/>
  <c r="AD39" i="4" s="1"/>
  <c r="AD65" i="4" a="1"/>
  <c r="AD65" i="4" s="1"/>
  <c r="AD91" i="4" a="1"/>
  <c r="AD91" i="4" s="1"/>
  <c r="AD112" i="4" a="1"/>
  <c r="AD112" i="4" s="1"/>
  <c r="AD138" i="4" a="1"/>
  <c r="AD138" i="4" s="1"/>
  <c r="AD164" i="4" a="1"/>
  <c r="AD164" i="4" s="1"/>
  <c r="AD214" i="4" a="1"/>
  <c r="AD214" i="4" s="1"/>
  <c r="AD244" i="4" a="1"/>
  <c r="AD244" i="4" s="1"/>
  <c r="AB15" i="4" a="1"/>
  <c r="AB15" i="4" s="1"/>
  <c r="AB95" i="4" a="1"/>
  <c r="AB95" i="4" s="1"/>
  <c r="AB122" i="4" a="1"/>
  <c r="AB122" i="4" s="1"/>
  <c r="AB170" i="4" a="1"/>
  <c r="AB170" i="4" s="1"/>
  <c r="AB233" i="4" a="1"/>
  <c r="AB233" i="4" s="1"/>
  <c r="AD186" i="4" a="1"/>
  <c r="AD186" i="4" s="1"/>
  <c r="AD245" i="4" a="1"/>
  <c r="AD245" i="4" s="1"/>
  <c r="AB73" i="4" a="1"/>
  <c r="AB73" i="4" s="1"/>
  <c r="AB212" i="4" a="1"/>
  <c r="AB212" i="4" s="1"/>
  <c r="AD18" i="4" a="1"/>
  <c r="AD18" i="4" s="1"/>
  <c r="AD66" i="4" a="1"/>
  <c r="AD66" i="4" s="1"/>
  <c r="AD119" i="4" a="1"/>
  <c r="AD119" i="4" s="1"/>
  <c r="AD166" i="4" a="1"/>
  <c r="AD166" i="4" s="1"/>
  <c r="AB45" i="4" a="1"/>
  <c r="AB45" i="4" s="1"/>
  <c r="AB102" i="4" a="1"/>
  <c r="AB102" i="4" s="1"/>
  <c r="AB151" i="4" a="1"/>
  <c r="AB151" i="4" s="1"/>
  <c r="AB242" i="4" a="1"/>
  <c r="AB242" i="4" s="1"/>
  <c r="AD93" i="4" a="1"/>
  <c r="AD93" i="4" s="1"/>
  <c r="AB219" i="4" a="1"/>
  <c r="AB219" i="4" s="1"/>
  <c r="AD19" i="4" a="1"/>
  <c r="AD19" i="4" s="1"/>
  <c r="AD194" i="4" a="1"/>
  <c r="AD194" i="4" s="1"/>
  <c r="AB104" i="4" a="1"/>
  <c r="AB104" i="4" s="1"/>
  <c r="AD48" i="4" a="1"/>
  <c r="AD48" i="4" s="1"/>
  <c r="AD2" i="4" a="1"/>
  <c r="AD2" i="4" s="1"/>
  <c r="AB26" i="4" a="1"/>
  <c r="AB26" i="4" s="1"/>
  <c r="AD75" i="4" a="1"/>
  <c r="AD75" i="4" s="1"/>
  <c r="AB132" i="4" a="1"/>
  <c r="AB132" i="4" s="1"/>
  <c r="AB56" i="4" a="1"/>
  <c r="AB56" i="4" s="1"/>
  <c r="BK3" i="2"/>
  <c r="BK4" i="2"/>
  <c r="BK5" i="2"/>
  <c r="BK2" i="2"/>
  <c r="BK6" i="2"/>
  <c r="BL3" i="2"/>
  <c r="BL5" i="2"/>
  <c r="BL6" i="2"/>
  <c r="BL2" i="2"/>
  <c r="BL4" i="2"/>
  <c r="BJ3" i="2"/>
  <c r="BJ4" i="2"/>
  <c r="BJ5" i="2"/>
  <c r="BJ6" i="2"/>
  <c r="BJ2" i="2"/>
  <c r="D27" i="1"/>
  <c r="C27" i="1"/>
  <c r="L20" i="1"/>
  <c r="E26" i="1"/>
  <c r="E29" i="1"/>
  <c r="F29" i="1"/>
  <c r="F26" i="1"/>
  <c r="D26" i="1"/>
  <c r="M20" i="1"/>
  <c r="AB79" i="2"/>
  <c r="AB78" i="2"/>
  <c r="AB80" i="2"/>
  <c r="AA72" i="2"/>
  <c r="AB77" i="2"/>
  <c r="AB76" i="2"/>
  <c r="V71" i="2"/>
  <c r="U76" i="2"/>
  <c r="U75" i="2"/>
  <c r="U74" i="2"/>
  <c r="U78" i="2"/>
  <c r="U73" i="2"/>
  <c r="U77" i="2"/>
  <c r="U79" i="2"/>
  <c r="U80" i="2"/>
  <c r="U72" i="2"/>
  <c r="W78" i="2"/>
  <c r="Y73" i="2"/>
  <c r="AC75" i="2"/>
  <c r="W74" i="2"/>
  <c r="Y77" i="2"/>
  <c r="AA80" i="2"/>
  <c r="AC79" i="2"/>
  <c r="AA76" i="2"/>
  <c r="Z76" i="2"/>
  <c r="V74" i="2"/>
  <c r="W77" i="2"/>
  <c r="Y72" i="2"/>
  <c r="X80" i="2"/>
  <c r="X76" i="2"/>
  <c r="AB74" i="2"/>
  <c r="AC77" i="2"/>
  <c r="Y75" i="2"/>
  <c r="W72" i="2"/>
  <c r="V78" i="2"/>
  <c r="X73" i="2"/>
  <c r="Y80" i="2"/>
  <c r="Y76" i="2"/>
  <c r="W73" i="2"/>
  <c r="V77" i="2"/>
  <c r="V73" i="2"/>
  <c r="AA78" i="2"/>
  <c r="W76" i="2"/>
  <c r="AA74" i="2"/>
  <c r="AC73" i="2"/>
  <c r="V80" i="2"/>
  <c r="X79" i="2"/>
  <c r="Z78" i="2"/>
  <c r="T77" i="2"/>
  <c r="V76" i="2"/>
  <c r="X75" i="2"/>
  <c r="Z74" i="2"/>
  <c r="AB73" i="2"/>
  <c r="T73" i="2"/>
  <c r="V72" i="2"/>
  <c r="Z80" i="2"/>
  <c r="T75" i="2"/>
  <c r="AA79" i="2"/>
  <c r="AA75" i="2"/>
  <c r="T78" i="2"/>
  <c r="Z75" i="2"/>
  <c r="W80" i="2"/>
  <c r="AC80" i="2"/>
  <c r="W79" i="2"/>
  <c r="Y78" i="2"/>
  <c r="AA77" i="2"/>
  <c r="AC76" i="2"/>
  <c r="W75" i="2"/>
  <c r="Y74" i="2"/>
  <c r="AA73" i="2"/>
  <c r="AC72" i="2"/>
  <c r="T79" i="2"/>
  <c r="Z72" i="2"/>
  <c r="AC78" i="2"/>
  <c r="T74" i="2"/>
  <c r="Y79" i="2"/>
  <c r="X77" i="2"/>
  <c r="AB75" i="2"/>
  <c r="AC74" i="2"/>
  <c r="Z79" i="2"/>
  <c r="X72" i="2"/>
  <c r="T80" i="2"/>
  <c r="V79" i="2"/>
  <c r="X78" i="2"/>
  <c r="Z77" i="2"/>
  <c r="T76" i="2"/>
  <c r="V75" i="2"/>
  <c r="X74" i="2"/>
  <c r="Z73" i="2"/>
  <c r="AB72" i="2"/>
  <c r="T72" i="2"/>
  <c r="W71" i="2"/>
  <c r="AB71" i="2"/>
  <c r="AA71" i="2"/>
  <c r="Z71" i="2"/>
  <c r="Y71" i="2"/>
  <c r="X71" i="2"/>
  <c r="AC71" i="2"/>
  <c r="U71" i="2"/>
  <c r="T71" i="2"/>
  <c r="Q18" i="1" l="1"/>
  <c r="O18" i="1"/>
  <c r="R20" i="1"/>
  <c r="R18" i="1"/>
  <c r="P20" i="1"/>
  <c r="Q19" i="1"/>
  <c r="S19" i="1"/>
  <c r="O20" i="1"/>
  <c r="P21" i="1"/>
  <c r="O19" i="1"/>
  <c r="O22" i="1"/>
  <c r="Q21" i="1"/>
  <c r="P19" i="1"/>
  <c r="S21" i="1"/>
  <c r="P22" i="1"/>
  <c r="S20" i="1"/>
  <c r="R21" i="1"/>
  <c r="Q22" i="1"/>
  <c r="S18" i="1"/>
  <c r="Q20" i="1"/>
  <c r="R22" i="1"/>
  <c r="S22" i="1"/>
  <c r="R19" i="1"/>
  <c r="P18" i="1"/>
  <c r="O21" i="1"/>
  <c r="BF15" i="2"/>
  <c r="BF31" i="2"/>
  <c r="BF47" i="2"/>
  <c r="BF63" i="2"/>
  <c r="BF79" i="2"/>
  <c r="BF95" i="2"/>
  <c r="BF111" i="2"/>
  <c r="BF127" i="2"/>
  <c r="BF143" i="2"/>
  <c r="BF159" i="2"/>
  <c r="BF175" i="2"/>
  <c r="BF5" i="2"/>
  <c r="BF54" i="2"/>
  <c r="BF118" i="2"/>
  <c r="BF182" i="2"/>
  <c r="BF71" i="2"/>
  <c r="BF151" i="2"/>
  <c r="BF24" i="2"/>
  <c r="BF120" i="2"/>
  <c r="BF168" i="2"/>
  <c r="BF9" i="2"/>
  <c r="BF105" i="2"/>
  <c r="BF169" i="2"/>
  <c r="BF26" i="2"/>
  <c r="BF90" i="2"/>
  <c r="BF11" i="2"/>
  <c r="BF91" i="2"/>
  <c r="BF16" i="2"/>
  <c r="BF32" i="2"/>
  <c r="BF48" i="2"/>
  <c r="BF64" i="2"/>
  <c r="BF80" i="2"/>
  <c r="BF96" i="2"/>
  <c r="BF112" i="2"/>
  <c r="BF128" i="2"/>
  <c r="BF144" i="2"/>
  <c r="BF160" i="2"/>
  <c r="BF176" i="2"/>
  <c r="BF181" i="2"/>
  <c r="BF22" i="2"/>
  <c r="BF134" i="2"/>
  <c r="BF55" i="2"/>
  <c r="BF135" i="2"/>
  <c r="BF40" i="2"/>
  <c r="BF88" i="2"/>
  <c r="BF57" i="2"/>
  <c r="BF121" i="2"/>
  <c r="BF42" i="2"/>
  <c r="BF122" i="2"/>
  <c r="BF59" i="2"/>
  <c r="BF139" i="2"/>
  <c r="BF17" i="2"/>
  <c r="BF33" i="2"/>
  <c r="BF49" i="2"/>
  <c r="BF65" i="2"/>
  <c r="BF81" i="2"/>
  <c r="BF97" i="2"/>
  <c r="BF113" i="2"/>
  <c r="BF129" i="2"/>
  <c r="BF145" i="2"/>
  <c r="BF161" i="2"/>
  <c r="BF177" i="2"/>
  <c r="BF149" i="2"/>
  <c r="BF70" i="2"/>
  <c r="BF150" i="2"/>
  <c r="BF23" i="2"/>
  <c r="BF103" i="2"/>
  <c r="BF167" i="2"/>
  <c r="BF56" i="2"/>
  <c r="BF136" i="2"/>
  <c r="BF25" i="2"/>
  <c r="BF89" i="2"/>
  <c r="BF74" i="2"/>
  <c r="BF154" i="2"/>
  <c r="BF75" i="2"/>
  <c r="BF155" i="2"/>
  <c r="BF18" i="2"/>
  <c r="BF34" i="2"/>
  <c r="BF50" i="2"/>
  <c r="BF66" i="2"/>
  <c r="BF82" i="2"/>
  <c r="BF98" i="2"/>
  <c r="BF114" i="2"/>
  <c r="BF130" i="2"/>
  <c r="BF146" i="2"/>
  <c r="BF162" i="2"/>
  <c r="BF178" i="2"/>
  <c r="BF3" i="2"/>
  <c r="BF19" i="2"/>
  <c r="BF35" i="2"/>
  <c r="BF51" i="2"/>
  <c r="BF67" i="2"/>
  <c r="BF83" i="2"/>
  <c r="BF99" i="2"/>
  <c r="BF115" i="2"/>
  <c r="BF131" i="2"/>
  <c r="BF147" i="2"/>
  <c r="BF163" i="2"/>
  <c r="BF179" i="2"/>
  <c r="BF21" i="2"/>
  <c r="BF53" i="2"/>
  <c r="BF85" i="2"/>
  <c r="BF133" i="2"/>
  <c r="BF38" i="2"/>
  <c r="BF102" i="2"/>
  <c r="BF166" i="2"/>
  <c r="BF7" i="2"/>
  <c r="BF119" i="2"/>
  <c r="BF2" i="2"/>
  <c r="BF72" i="2"/>
  <c r="BF152" i="2"/>
  <c r="BF73" i="2"/>
  <c r="BF153" i="2"/>
  <c r="BF10" i="2"/>
  <c r="BF106" i="2"/>
  <c r="BF170" i="2"/>
  <c r="BF27" i="2"/>
  <c r="BF123" i="2"/>
  <c r="BF4" i="2"/>
  <c r="BF20" i="2"/>
  <c r="BF36" i="2"/>
  <c r="BF52" i="2"/>
  <c r="BF68" i="2"/>
  <c r="BF84" i="2"/>
  <c r="BF100" i="2"/>
  <c r="BF116" i="2"/>
  <c r="BF132" i="2"/>
  <c r="BF148" i="2"/>
  <c r="BF164" i="2"/>
  <c r="BF180" i="2"/>
  <c r="BF37" i="2"/>
  <c r="BF69" i="2"/>
  <c r="BF101" i="2"/>
  <c r="BF117" i="2"/>
  <c r="BF165" i="2"/>
  <c r="BF6" i="2"/>
  <c r="BF86" i="2"/>
  <c r="BF39" i="2"/>
  <c r="BF87" i="2"/>
  <c r="BF8" i="2"/>
  <c r="BF104" i="2"/>
  <c r="BF41" i="2"/>
  <c r="BF137" i="2"/>
  <c r="BF58" i="2"/>
  <c r="BF138" i="2"/>
  <c r="BF43" i="2"/>
  <c r="BF107" i="2"/>
  <c r="BF171" i="2"/>
  <c r="BF92" i="2"/>
  <c r="BF173" i="2"/>
  <c r="BF12" i="2"/>
  <c r="BF93" i="2"/>
  <c r="BF174" i="2"/>
  <c r="BF125" i="2"/>
  <c r="BF45" i="2"/>
  <c r="BF141" i="2"/>
  <c r="BF77" i="2"/>
  <c r="BF172" i="2"/>
  <c r="BF13" i="2"/>
  <c r="BF94" i="2"/>
  <c r="BF14" i="2"/>
  <c r="BF108" i="2"/>
  <c r="BF46" i="2"/>
  <c r="BF62" i="2"/>
  <c r="BF157" i="2"/>
  <c r="BF158" i="2"/>
  <c r="BF28" i="2"/>
  <c r="BF109" i="2"/>
  <c r="BF140" i="2"/>
  <c r="BF60" i="2"/>
  <c r="BF61" i="2"/>
  <c r="BF29" i="2"/>
  <c r="BF110" i="2"/>
  <c r="BF30" i="2"/>
  <c r="BF124" i="2"/>
  <c r="BF44" i="2"/>
  <c r="BF126" i="2"/>
  <c r="BF156" i="2"/>
  <c r="BF142" i="2"/>
  <c r="BF76" i="2"/>
  <c r="BF78" i="2"/>
  <c r="BE10" i="2"/>
  <c r="BE26" i="2"/>
  <c r="BE42" i="2"/>
  <c r="BE58" i="2"/>
  <c r="BE74" i="2"/>
  <c r="BE90" i="2"/>
  <c r="BE106" i="2"/>
  <c r="BE122" i="2"/>
  <c r="BE138" i="2"/>
  <c r="BE154" i="2"/>
  <c r="BE170" i="2"/>
  <c r="BE48" i="2"/>
  <c r="BE128" i="2"/>
  <c r="BE81" i="2"/>
  <c r="BE161" i="2"/>
  <c r="BE50" i="2"/>
  <c r="BE82" i="2"/>
  <c r="BE67" i="2"/>
  <c r="BE147" i="2"/>
  <c r="BE52" i="2"/>
  <c r="BE116" i="2"/>
  <c r="BE180" i="2"/>
  <c r="BE37" i="2"/>
  <c r="BE117" i="2"/>
  <c r="BE181" i="2"/>
  <c r="BE54" i="2"/>
  <c r="BE134" i="2"/>
  <c r="BE11" i="2"/>
  <c r="BE27" i="2"/>
  <c r="BE43" i="2"/>
  <c r="BE59" i="2"/>
  <c r="BE75" i="2"/>
  <c r="BE91" i="2"/>
  <c r="BE107" i="2"/>
  <c r="BE123" i="2"/>
  <c r="BE139" i="2"/>
  <c r="BE155" i="2"/>
  <c r="BE171" i="2"/>
  <c r="BE112" i="2"/>
  <c r="BE176" i="2"/>
  <c r="BE33" i="2"/>
  <c r="BE113" i="2"/>
  <c r="BE34" i="2"/>
  <c r="BE114" i="2"/>
  <c r="BE178" i="2"/>
  <c r="BE51" i="2"/>
  <c r="BE131" i="2"/>
  <c r="BE4" i="2"/>
  <c r="BE68" i="2"/>
  <c r="BE148" i="2"/>
  <c r="BE5" i="2"/>
  <c r="BE85" i="2"/>
  <c r="BE22" i="2"/>
  <c r="BE102" i="2"/>
  <c r="BE12" i="2"/>
  <c r="BE28" i="2"/>
  <c r="BE44" i="2"/>
  <c r="BE60" i="2"/>
  <c r="BE76" i="2"/>
  <c r="BE92" i="2"/>
  <c r="BE108" i="2"/>
  <c r="BE124" i="2"/>
  <c r="BE140" i="2"/>
  <c r="BE156" i="2"/>
  <c r="BE172" i="2"/>
  <c r="BE64" i="2"/>
  <c r="BE65" i="2"/>
  <c r="BE145" i="2"/>
  <c r="BE66" i="2"/>
  <c r="BE146" i="2"/>
  <c r="BE19" i="2"/>
  <c r="BE99" i="2"/>
  <c r="BE179" i="2"/>
  <c r="BE53" i="2"/>
  <c r="BE133" i="2"/>
  <c r="BE38" i="2"/>
  <c r="BE118" i="2"/>
  <c r="BE13" i="2"/>
  <c r="BE29" i="2"/>
  <c r="BE45" i="2"/>
  <c r="BE61" i="2"/>
  <c r="BE77" i="2"/>
  <c r="BE93" i="2"/>
  <c r="BE109" i="2"/>
  <c r="BE125" i="2"/>
  <c r="BE141" i="2"/>
  <c r="BE157" i="2"/>
  <c r="BE173" i="2"/>
  <c r="BE14" i="2"/>
  <c r="BE30" i="2"/>
  <c r="BE46" i="2"/>
  <c r="BE62" i="2"/>
  <c r="BE78" i="2"/>
  <c r="BE94" i="2"/>
  <c r="BE110" i="2"/>
  <c r="BE126" i="2"/>
  <c r="BE142" i="2"/>
  <c r="BE158" i="2"/>
  <c r="BE174" i="2"/>
  <c r="BE16" i="2"/>
  <c r="BE80" i="2"/>
  <c r="BE160" i="2"/>
  <c r="BE49" i="2"/>
  <c r="BE129" i="2"/>
  <c r="BE130" i="2"/>
  <c r="BE35" i="2"/>
  <c r="BE115" i="2"/>
  <c r="BE163" i="2"/>
  <c r="BE36" i="2"/>
  <c r="BE84" i="2"/>
  <c r="BE164" i="2"/>
  <c r="BE69" i="2"/>
  <c r="BE149" i="2"/>
  <c r="BE6" i="2"/>
  <c r="BE86" i="2"/>
  <c r="BE15" i="2"/>
  <c r="BE31" i="2"/>
  <c r="BE47" i="2"/>
  <c r="BE63" i="2"/>
  <c r="BE79" i="2"/>
  <c r="BE95" i="2"/>
  <c r="BE111" i="2"/>
  <c r="BE127" i="2"/>
  <c r="BE143" i="2"/>
  <c r="BE159" i="2"/>
  <c r="BE175" i="2"/>
  <c r="BE32" i="2"/>
  <c r="BE96" i="2"/>
  <c r="BE144" i="2"/>
  <c r="BE17" i="2"/>
  <c r="BE97" i="2"/>
  <c r="BE177" i="2"/>
  <c r="BE18" i="2"/>
  <c r="BE98" i="2"/>
  <c r="BE162" i="2"/>
  <c r="BE3" i="2"/>
  <c r="BE83" i="2"/>
  <c r="BE20" i="2"/>
  <c r="BE100" i="2"/>
  <c r="BE132" i="2"/>
  <c r="BE21" i="2"/>
  <c r="BE101" i="2"/>
  <c r="BE165" i="2"/>
  <c r="BE70" i="2"/>
  <c r="BE73" i="2"/>
  <c r="BE153" i="2"/>
  <c r="BE87" i="2"/>
  <c r="BE166" i="2"/>
  <c r="BE121" i="2"/>
  <c r="BE55" i="2"/>
  <c r="BE56" i="2"/>
  <c r="BE25" i="2"/>
  <c r="BE7" i="2"/>
  <c r="BE88" i="2"/>
  <c r="BE167" i="2"/>
  <c r="BE8" i="2"/>
  <c r="BE89" i="2"/>
  <c r="BE168" i="2"/>
  <c r="BE119" i="2"/>
  <c r="BE135" i="2"/>
  <c r="BE72" i="2"/>
  <c r="BE9" i="2"/>
  <c r="BE103" i="2"/>
  <c r="BE169" i="2"/>
  <c r="BE104" i="2"/>
  <c r="BE24" i="2"/>
  <c r="BE120" i="2"/>
  <c r="BE137" i="2"/>
  <c r="BE150" i="2"/>
  <c r="BE71" i="2"/>
  <c r="BE23" i="2"/>
  <c r="BE182" i="2"/>
  <c r="BE105" i="2"/>
  <c r="BE2" i="2"/>
  <c r="BE40" i="2"/>
  <c r="BE41" i="2"/>
  <c r="BE136" i="2"/>
  <c r="BE57" i="2"/>
  <c r="BE151" i="2"/>
  <c r="BE152" i="2"/>
  <c r="BE39" i="2"/>
  <c r="BD7" i="2"/>
  <c r="BD23" i="2"/>
  <c r="BD39" i="2"/>
  <c r="BD55" i="2"/>
  <c r="BD71" i="2"/>
  <c r="BD87" i="2"/>
  <c r="BD103" i="2"/>
  <c r="BD119" i="2"/>
  <c r="BD135" i="2"/>
  <c r="BD151" i="2"/>
  <c r="BD167" i="2"/>
  <c r="BD2" i="2"/>
  <c r="BD43" i="2"/>
  <c r="BD123" i="2"/>
  <c r="BD171" i="2"/>
  <c r="BD28" i="2"/>
  <c r="BD76" i="2"/>
  <c r="BD140" i="2"/>
  <c r="BD45" i="2"/>
  <c r="BD109" i="2"/>
  <c r="BD157" i="2"/>
  <c r="BD30" i="2"/>
  <c r="BD78" i="2"/>
  <c r="BD174" i="2"/>
  <c r="BD31" i="2"/>
  <c r="BD95" i="2"/>
  <c r="BD159" i="2"/>
  <c r="BD48" i="2"/>
  <c r="BD96" i="2"/>
  <c r="BD144" i="2"/>
  <c r="BD33" i="2"/>
  <c r="BD97" i="2"/>
  <c r="BD161" i="2"/>
  <c r="BD66" i="2"/>
  <c r="BD114" i="2"/>
  <c r="BD162" i="2"/>
  <c r="BD19" i="2"/>
  <c r="BD83" i="2"/>
  <c r="BD68" i="2"/>
  <c r="BD148" i="2"/>
  <c r="BD37" i="2"/>
  <c r="BD133" i="2"/>
  <c r="BD38" i="2"/>
  <c r="BD102" i="2"/>
  <c r="BD166" i="2"/>
  <c r="BD8" i="2"/>
  <c r="BD24" i="2"/>
  <c r="BD40" i="2"/>
  <c r="BD56" i="2"/>
  <c r="BD72" i="2"/>
  <c r="BD88" i="2"/>
  <c r="BD104" i="2"/>
  <c r="BD120" i="2"/>
  <c r="BD136" i="2"/>
  <c r="BD152" i="2"/>
  <c r="BD168" i="2"/>
  <c r="BD59" i="2"/>
  <c r="BD139" i="2"/>
  <c r="BD12" i="2"/>
  <c r="BD92" i="2"/>
  <c r="BD156" i="2"/>
  <c r="BD29" i="2"/>
  <c r="BD93" i="2"/>
  <c r="BD141" i="2"/>
  <c r="BD14" i="2"/>
  <c r="BD110" i="2"/>
  <c r="BD158" i="2"/>
  <c r="BD15" i="2"/>
  <c r="BD111" i="2"/>
  <c r="BD143" i="2"/>
  <c r="BD64" i="2"/>
  <c r="BD128" i="2"/>
  <c r="BD17" i="2"/>
  <c r="BD113" i="2"/>
  <c r="BD177" i="2"/>
  <c r="BD34" i="2"/>
  <c r="BD130" i="2"/>
  <c r="BD35" i="2"/>
  <c r="BD131" i="2"/>
  <c r="BD36" i="2"/>
  <c r="BD84" i="2"/>
  <c r="BD69" i="2"/>
  <c r="BD117" i="2"/>
  <c r="BD165" i="2"/>
  <c r="BD70" i="2"/>
  <c r="BD150" i="2"/>
  <c r="BD9" i="2"/>
  <c r="BD25" i="2"/>
  <c r="BD41" i="2"/>
  <c r="BD57" i="2"/>
  <c r="BD73" i="2"/>
  <c r="BD89" i="2"/>
  <c r="BD105" i="2"/>
  <c r="BD121" i="2"/>
  <c r="BD137" i="2"/>
  <c r="BD153" i="2"/>
  <c r="BD169" i="2"/>
  <c r="BD91" i="2"/>
  <c r="BD60" i="2"/>
  <c r="BD172" i="2"/>
  <c r="BD13" i="2"/>
  <c r="BD77" i="2"/>
  <c r="BD173" i="2"/>
  <c r="BD46" i="2"/>
  <c r="BD94" i="2"/>
  <c r="BD142" i="2"/>
  <c r="BD47" i="2"/>
  <c r="BD79" i="2"/>
  <c r="BD16" i="2"/>
  <c r="BD112" i="2"/>
  <c r="BD49" i="2"/>
  <c r="BD145" i="2"/>
  <c r="BD50" i="2"/>
  <c r="BD82" i="2"/>
  <c r="BD178" i="2"/>
  <c r="BD51" i="2"/>
  <c r="BD115" i="2"/>
  <c r="BD163" i="2"/>
  <c r="BD20" i="2"/>
  <c r="BD100" i="2"/>
  <c r="BD164" i="2"/>
  <c r="BD21" i="2"/>
  <c r="BD85" i="2"/>
  <c r="BD181" i="2"/>
  <c r="BD22" i="2"/>
  <c r="BD86" i="2"/>
  <c r="BD10" i="2"/>
  <c r="BD26" i="2"/>
  <c r="BD42" i="2"/>
  <c r="BD58" i="2"/>
  <c r="BD74" i="2"/>
  <c r="BD90" i="2"/>
  <c r="BD106" i="2"/>
  <c r="BD122" i="2"/>
  <c r="BD138" i="2"/>
  <c r="BD154" i="2"/>
  <c r="BD170" i="2"/>
  <c r="BD11" i="2"/>
  <c r="BD27" i="2"/>
  <c r="BD75" i="2"/>
  <c r="BD107" i="2"/>
  <c r="BD155" i="2"/>
  <c r="BD44" i="2"/>
  <c r="BD108" i="2"/>
  <c r="BD124" i="2"/>
  <c r="BD61" i="2"/>
  <c r="BD125" i="2"/>
  <c r="BD62" i="2"/>
  <c r="BD126" i="2"/>
  <c r="BD63" i="2"/>
  <c r="BD127" i="2"/>
  <c r="BD175" i="2"/>
  <c r="BD32" i="2"/>
  <c r="BD80" i="2"/>
  <c r="BD176" i="2"/>
  <c r="BD65" i="2"/>
  <c r="BD129" i="2"/>
  <c r="BD18" i="2"/>
  <c r="BD98" i="2"/>
  <c r="BD3" i="2"/>
  <c r="BD99" i="2"/>
  <c r="BD179" i="2"/>
  <c r="BD52" i="2"/>
  <c r="BD132" i="2"/>
  <c r="BD53" i="2"/>
  <c r="BD149" i="2"/>
  <c r="BD6" i="2"/>
  <c r="BD118" i="2"/>
  <c r="BD160" i="2"/>
  <c r="BD81" i="2"/>
  <c r="BD146" i="2"/>
  <c r="BD67" i="2"/>
  <c r="BD147" i="2"/>
  <c r="BD4" i="2"/>
  <c r="BD116" i="2"/>
  <c r="BD180" i="2"/>
  <c r="BD5" i="2"/>
  <c r="BD101" i="2"/>
  <c r="BD54" i="2"/>
  <c r="BD134" i="2"/>
  <c r="BD182" i="2"/>
  <c r="BC17" i="2"/>
  <c r="BC33" i="2"/>
  <c r="BC49" i="2"/>
  <c r="BC65" i="2"/>
  <c r="BC81" i="2"/>
  <c r="BC97" i="2"/>
  <c r="BC113" i="2"/>
  <c r="BC129" i="2"/>
  <c r="BC145" i="2"/>
  <c r="BC161" i="2"/>
  <c r="BC177" i="2"/>
  <c r="BC71" i="2"/>
  <c r="BC56" i="2"/>
  <c r="BC168" i="2"/>
  <c r="BC25" i="2"/>
  <c r="BC105" i="2"/>
  <c r="BC58" i="2"/>
  <c r="BC154" i="2"/>
  <c r="BC27" i="2"/>
  <c r="BC123" i="2"/>
  <c r="BC12" i="2"/>
  <c r="BC156" i="2"/>
  <c r="BC93" i="2"/>
  <c r="BC109" i="2"/>
  <c r="BC78" i="2"/>
  <c r="BC95" i="2"/>
  <c r="BC111" i="2"/>
  <c r="BC96" i="2"/>
  <c r="BC112" i="2"/>
  <c r="BC18" i="2"/>
  <c r="BC34" i="2"/>
  <c r="BC50" i="2"/>
  <c r="BC66" i="2"/>
  <c r="BC82" i="2"/>
  <c r="BC98" i="2"/>
  <c r="BC114" i="2"/>
  <c r="BC130" i="2"/>
  <c r="BC146" i="2"/>
  <c r="BC162" i="2"/>
  <c r="BC178" i="2"/>
  <c r="BC55" i="2"/>
  <c r="BC151" i="2"/>
  <c r="BC88" i="2"/>
  <c r="BC57" i="2"/>
  <c r="BC10" i="2"/>
  <c r="BC138" i="2"/>
  <c r="BC59" i="2"/>
  <c r="BC139" i="2"/>
  <c r="BC76" i="2"/>
  <c r="BC172" i="2"/>
  <c r="BC29" i="2"/>
  <c r="BC125" i="2"/>
  <c r="BC14" i="2"/>
  <c r="BC142" i="2"/>
  <c r="BC63" i="2"/>
  <c r="BC175" i="2"/>
  <c r="BC32" i="2"/>
  <c r="BC128" i="2"/>
  <c r="BC3" i="2"/>
  <c r="BC19" i="2"/>
  <c r="BC35" i="2"/>
  <c r="BC51" i="2"/>
  <c r="BC67" i="2"/>
  <c r="BC83" i="2"/>
  <c r="BC99" i="2"/>
  <c r="BC115" i="2"/>
  <c r="BC131" i="2"/>
  <c r="BC147" i="2"/>
  <c r="BC163" i="2"/>
  <c r="BC179" i="2"/>
  <c r="BC87" i="2"/>
  <c r="BC167" i="2"/>
  <c r="BC8" i="2"/>
  <c r="BC104" i="2"/>
  <c r="BC9" i="2"/>
  <c r="BC153" i="2"/>
  <c r="BC26" i="2"/>
  <c r="BC106" i="2"/>
  <c r="BC11" i="2"/>
  <c r="BC107" i="2"/>
  <c r="BC60" i="2"/>
  <c r="BC77" i="2"/>
  <c r="BC173" i="2"/>
  <c r="BC94" i="2"/>
  <c r="BC110" i="2"/>
  <c r="BC15" i="2"/>
  <c r="BC159" i="2"/>
  <c r="BC16" i="2"/>
  <c r="BC144" i="2"/>
  <c r="BC4" i="2"/>
  <c r="BC20" i="2"/>
  <c r="BC36" i="2"/>
  <c r="BC52" i="2"/>
  <c r="BC68" i="2"/>
  <c r="BC84" i="2"/>
  <c r="BC100" i="2"/>
  <c r="BC116" i="2"/>
  <c r="BC132" i="2"/>
  <c r="BC148" i="2"/>
  <c r="BC164" i="2"/>
  <c r="BC180" i="2"/>
  <c r="BC7" i="2"/>
  <c r="BC103" i="2"/>
  <c r="BC24" i="2"/>
  <c r="BC120" i="2"/>
  <c r="BC89" i="2"/>
  <c r="BC169" i="2"/>
  <c r="BC42" i="2"/>
  <c r="BC122" i="2"/>
  <c r="BC91" i="2"/>
  <c r="BC171" i="2"/>
  <c r="BC44" i="2"/>
  <c r="BC108" i="2"/>
  <c r="BC61" i="2"/>
  <c r="BC46" i="2"/>
  <c r="BC158" i="2"/>
  <c r="BC31" i="2"/>
  <c r="BC127" i="2"/>
  <c r="BC64" i="2"/>
  <c r="BC160" i="2"/>
  <c r="BC5" i="2"/>
  <c r="BC21" i="2"/>
  <c r="BC37" i="2"/>
  <c r="BC53" i="2"/>
  <c r="BC69" i="2"/>
  <c r="BC85" i="2"/>
  <c r="BC101" i="2"/>
  <c r="BC117" i="2"/>
  <c r="BC133" i="2"/>
  <c r="BC149" i="2"/>
  <c r="BC165" i="2"/>
  <c r="BC181" i="2"/>
  <c r="BC39" i="2"/>
  <c r="BC119" i="2"/>
  <c r="BC72" i="2"/>
  <c r="BC152" i="2"/>
  <c r="BC41" i="2"/>
  <c r="BC121" i="2"/>
  <c r="BC74" i="2"/>
  <c r="BC170" i="2"/>
  <c r="BC75" i="2"/>
  <c r="BC28" i="2"/>
  <c r="BC140" i="2"/>
  <c r="BC45" i="2"/>
  <c r="BC157" i="2"/>
  <c r="BC30" i="2"/>
  <c r="BC126" i="2"/>
  <c r="BC79" i="2"/>
  <c r="BC80" i="2"/>
  <c r="BC6" i="2"/>
  <c r="BC22" i="2"/>
  <c r="BC38" i="2"/>
  <c r="BC54" i="2"/>
  <c r="BC70" i="2"/>
  <c r="BC86" i="2"/>
  <c r="BC102" i="2"/>
  <c r="BC118" i="2"/>
  <c r="BC134" i="2"/>
  <c r="BC150" i="2"/>
  <c r="BC166" i="2"/>
  <c r="BC182" i="2"/>
  <c r="BC23" i="2"/>
  <c r="BC135" i="2"/>
  <c r="BC40" i="2"/>
  <c r="BC136" i="2"/>
  <c r="BC73" i="2"/>
  <c r="BC137" i="2"/>
  <c r="BC90" i="2"/>
  <c r="BC43" i="2"/>
  <c r="BC155" i="2"/>
  <c r="BC92" i="2"/>
  <c r="BC124" i="2"/>
  <c r="BC13" i="2"/>
  <c r="BC141" i="2"/>
  <c r="BC62" i="2"/>
  <c r="BC174" i="2"/>
  <c r="BC47" i="2"/>
  <c r="BC143" i="2"/>
  <c r="BC48" i="2"/>
  <c r="BC176"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<sst xmlns="http://schemas.openxmlformats.org/spreadsheetml/2006/main" count="76" uniqueCount="58">
  <si>
    <t>Imagen A (8 bits grayscale)</t>
  </si>
  <si>
    <t>Filtro b)</t>
  </si>
  <si>
    <t>Imagen por filtro de mediana</t>
  </si>
  <si>
    <t>Imagen por convolución</t>
  </si>
  <si>
    <t>MIN</t>
  </si>
  <si>
    <t>MAX</t>
  </si>
  <si>
    <t>Imagen por convolución (normalizada)</t>
  </si>
  <si>
    <t>Imagen por umbral de binarización</t>
  </si>
  <si>
    <t>Umbral t</t>
  </si>
  <si>
    <t>Imagen B (8 bits grayscale)</t>
  </si>
  <si>
    <t>Escala</t>
  </si>
  <si>
    <t>Prop_sup-izq</t>
  </si>
  <si>
    <t>Proporción</t>
  </si>
  <si>
    <t>Prop_sup-der</t>
  </si>
  <si>
    <t>Prop_sub-izq</t>
  </si>
  <si>
    <t>Prop_sub-der</t>
  </si>
  <si>
    <t>Filtro gradiente_x</t>
  </si>
  <si>
    <t>Filtro gradiente_y</t>
  </si>
  <si>
    <t>Bordes horizontales</t>
  </si>
  <si>
    <t>Bordes verticales</t>
  </si>
  <si>
    <t>Ángulo</t>
  </si>
  <si>
    <t>a)</t>
  </si>
  <si>
    <t>b)</t>
  </si>
  <si>
    <t>c)</t>
  </si>
  <si>
    <t>Ángulos (uso VBA para definir la función)</t>
  </si>
  <si>
    <t>Filtro 1 V</t>
  </si>
  <si>
    <t>Filtro 2 H</t>
  </si>
  <si>
    <t>Filtro 3 D45</t>
  </si>
  <si>
    <t>Filtro 4 D135</t>
  </si>
  <si>
    <t>Filtro 5 NOE</t>
  </si>
  <si>
    <t>Borde predominante en la imagen B (SIN DIVISION)</t>
  </si>
  <si>
    <t>Borde predominante en la imagen B (hecho con VBA)</t>
  </si>
  <si>
    <t>Borde</t>
  </si>
  <si>
    <t>d)</t>
  </si>
  <si>
    <t>¿En qué caso es conveniente implementar el filtro de convolución por medio de una DFT en vez de usar la definición original?</t>
  </si>
  <si>
    <t>Tal como se menciona en el video, cuando se utilizan filtros grandes puesto que resulta más eficiente, ya que al ser de orden logarítmico requiere menos operaciones en comparación con la convolución directa que crece cuadráticamente con el tamaño del filtro en imágenes grandes.</t>
  </si>
  <si>
    <t>No, si bien con la dirección y frecuencia radial es posible hacer la reconstrucción, como sale en la slide 14 lo que vemos y nos quedamos de la DFT son las magnitudes, con lo que perdemos la capacidad de descripción exacta de cada pixel</t>
  </si>
  <si>
    <t>¿Es posible usar la visualización de la DFT del archivo foto.jpg para obtener la imagen original?</t>
  </si>
  <si>
    <t>Imagen C</t>
  </si>
  <si>
    <t>Imagen LCB</t>
  </si>
  <si>
    <t>c.i)</t>
  </si>
  <si>
    <t>c.ii)</t>
  </si>
  <si>
    <t>Prop_R</t>
  </si>
  <si>
    <t>Prop_G</t>
  </si>
  <si>
    <t>Prop_B</t>
  </si>
  <si>
    <t>Código RGB</t>
  </si>
  <si>
    <t>R</t>
  </si>
  <si>
    <t>G</t>
  </si>
  <si>
    <t>B</t>
  </si>
  <si>
    <t>L</t>
  </si>
  <si>
    <t>A</t>
  </si>
  <si>
    <t>Peso</t>
  </si>
  <si>
    <t>b.i)</t>
  </si>
  <si>
    <t>b.ii)</t>
  </si>
  <si>
    <t>b.iii)</t>
  </si>
  <si>
    <t>z =</t>
  </si>
  <si>
    <t>God Tier Flag</t>
  </si>
  <si>
    <t>Matriz de costos (dist = L_2)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</si>
</sst>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s>
  <fills count="11">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0000FF"/>
        <bgColor indexed="64"/>
      </patternFill>
    </fill>
    <fill>
      <patternFill patternType="solid">
        <fgColor rgb="FFAC8996"/>
        <bgColor indexed="64"/>
      </patternFill>
    </fill>
    <fill>
      <patternFill patternType="solid">
        <fgColor rgb="FFDA2680"/>
        <bgColor indexed="64"/>
      </patternFill>
    </fill>
    <fill>
      <patternFill patternType="solid">
        <fgColor rgb="FF81AF67"/>
        <bgColor indexed="64"/>
      </patternFill>
    </fill>
    <fill>
      <patternFill patternType="solid">
        <fgColor rgb="FF5ECA67"/>
        <bgColor indexed="64"/>
      </patternFill>
    </fill>
    <fill>
      <patternFill patternType="solid">
        <fgColor rgb="FFF1C30B"/>
        <bgColor indexed="64"/>
      </patternFill>
    </fill>
    <fill>
      <patternFill patternType="solid">
        <fgColor rgb="FF7E5746"/>
        <bgColor indexed="64"/>
      </patternFill>
    </fill>
  </fills>
  <borders count="9">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1">
    <xf numFmtId="0" fontId="0" fillId="0" borderId="0"/>
  </cellStyleXfs>
  <cellXfs count="49">
    <xf numFmtId="0" fontId="0" fillId="0" borderId="0" xfId="0"/>
    <xf numFmtId="0" fontId="0" fillId="0" borderId="0" xfId="0" applyAlignment="1">
      <alignment horizontal="center"/>
    </xf>
    <xf numFmtId="0" fontId="0" fillId="0" borderId="0" xfId="0" applyAlignment="1">
      <alignment horizontal="center"/>
    </xf>
    <xf numFmtId="0" fontId="1" fillId="0" borderId="0" xfId="0" applyFont="1" applyAlignment="1">
      <alignment horizontal="center"/>
    </xf>
    <xf numFmtId="2" fontId="1" fillId="0" borderId="0" xfId="0" applyNumberFormat="1" applyFont="1" applyAlignment="1">
      <alignment horizontal="center"/>
    </xf>
    <xf numFmtId="0" fontId="2" fillId="0" borderId="0" xfId="0" applyFont="1" applyAlignment="1">
      <alignment horizontal="center"/>
    </xf>
    <xf numFmtId="0" fontId="3" fillId="0" borderId="0" xfId="0" applyFont="1" applyAlignment="1">
      <alignment horizontal="center"/>
    </xf>
    <xf numFmtId="0" fontId="0" fillId="0" borderId="0" xfId="0" applyFont="1"/>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2" fontId="3" fillId="0" borderId="0" xfId="0" applyNumberFormat="1" applyFont="1" applyAlignment="1">
      <alignment horizontal="center"/>
    </xf>
    <xf numFmtId="1" fontId="3" fillId="0" borderId="0" xfId="0" applyNumberFormat="1" applyFont="1" applyAlignment="1">
      <alignment horizontal="center"/>
    </xf>
    <xf numFmtId="0" fontId="3" fillId="0" borderId="0" xfId="0" applyNumberFormat="1" applyFont="1" applyAlignment="1">
      <alignment horizontal="center"/>
    </xf>
    <xf numFmtId="0" fontId="0" fillId="0" borderId="0"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2"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horizontal="center"/>
    </xf>
    <xf numFmtId="0" fontId="1" fillId="0" borderId="0" xfId="0" applyNumberFormat="1" applyFont="1" applyAlignment="1">
      <alignment horizontal="center"/>
    </xf>
    <xf numFmtId="0" fontId="0" fillId="0" borderId="0" xfId="0" applyAlignment="1">
      <alignment horizontal="center"/>
    </xf>
    <xf numFmtId="0" fontId="2" fillId="0" borderId="0" xfId="0" applyFont="1" applyAlignment="1">
      <alignment horizontal="center" vertical="center"/>
    </xf>
    <xf numFmtId="0" fontId="0" fillId="0" borderId="0" xfId="0" applyAlignment="1">
      <alignment horizontal="left" vertical="center" wrapText="1"/>
    </xf>
    <xf numFmtId="0" fontId="0" fillId="0" borderId="0" xfId="0" applyAlignment="1">
      <alignment wrapText="1"/>
    </xf>
    <xf numFmtId="0" fontId="0" fillId="0" borderId="0" xfId="0" applyAlignment="1">
      <alignment horizontal="center" wrapText="1"/>
    </xf>
    <xf numFmtId="0" fontId="0" fillId="0" borderId="0" xfId="0" applyAlignment="1">
      <alignment horizontal="left" wrapText="1"/>
    </xf>
    <xf numFmtId="0" fontId="0" fillId="2" borderId="0" xfId="0" applyFill="1"/>
    <xf numFmtId="0" fontId="0" fillId="3" borderId="0" xfId="0" applyFill="1"/>
    <xf numFmtId="0" fontId="0" fillId="4" borderId="0" xfId="0" applyFill="1"/>
    <xf numFmtId="0" fontId="0" fillId="0" borderId="0" xfId="0" applyAlignment="1">
      <alignment horizontal="center" vertic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8" borderId="0" xfId="0" applyFill="1" applyAlignment="1">
      <alignment horizontal="center" vertical="center"/>
    </xf>
    <xf numFmtId="0" fontId="0" fillId="10" borderId="0" xfId="0" applyFill="1" applyAlignment="1">
      <alignment horizontal="center" vertical="center"/>
    </xf>
    <xf numFmtId="0" fontId="0" fillId="9" borderId="0" xfId="0" applyFill="1" applyAlignment="1">
      <alignment horizontal="center" vertical="center"/>
    </xf>
    <xf numFmtId="0" fontId="0" fillId="5"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cellXfs>
  <cellStyles count="1">
    <cellStyle name="Normal" xfId="0" builtinId="0"/>
  </cellStyles>
  <dxfs count="25">
    <dxf>
      <font>
        <b/>
        <i val="0"/>
        <color auto="1"/>
      </font>
    </dxf>
    <dxf>
      <font>
        <b/>
        <i val="0"/>
        <color auto="1"/>
      </font>
    </dxf>
    <dxf>
      <font>
        <b/>
        <i val="0"/>
        <color auto="1"/>
      </font>
    </dxf>
    <dxf>
      <font>
        <b/>
        <i val="0"/>
        <color auto="1"/>
      </font>
    </dxf>
    <dxf>
      <font>
        <b/>
        <i val="0"/>
        <color auto="1"/>
      </font>
    </dxf>
    <dxf>
      <font>
        <b/>
        <i val="0"/>
        <color auto="1"/>
      </font>
    </dxf>
    <dxf>
      <fill>
        <patternFill>
          <bgColor theme="9" tint="0.79998168889431442"/>
        </patternFill>
      </fill>
    </dxf>
    <dxf>
      <fill>
        <patternFill>
          <bgColor theme="8"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5" tint="0.79998168889431442"/>
        </patternFill>
      </fill>
    </dxf>
    <dxf>
      <font>
        <b/>
        <i val="0"/>
        <color auto="1"/>
      </font>
    </dxf>
    <dxf>
      <font>
        <b/>
        <i val="0"/>
        <color auto="1"/>
      </font>
    </dxf>
    <dxf>
      <font>
        <b/>
        <i val="0"/>
        <color auto="1"/>
      </font>
    </dxf>
    <dxf>
      <font>
        <b/>
        <i val="0"/>
        <color auto="1"/>
      </font>
    </dxf>
    <dxf>
      <font>
        <b/>
        <i val="0"/>
        <color auto="1"/>
      </font>
    </dxf>
    <dxf>
      <font>
        <b/>
        <i val="0"/>
        <color auto="1"/>
      </font>
    </dxf>
    <dxf>
      <font>
        <b/>
        <i val="0"/>
        <color theme="1"/>
      </font>
    </dxf>
    <dxf>
      <font>
        <b/>
        <i val="0"/>
        <color theme="1"/>
      </font>
    </dxf>
    <dxf>
      <font>
        <b/>
        <i val="0"/>
        <color auto="1"/>
      </font>
    </dxf>
    <dxf>
      <font>
        <b/>
        <i val="0"/>
        <color theme="1"/>
      </font>
    </dxf>
    <dxf>
      <font>
        <b/>
        <i val="0"/>
        <color theme="1"/>
      </font>
    </dxf>
    <dxf>
      <font>
        <b/>
        <i val="0"/>
        <color theme="1"/>
      </font>
    </dxf>
    <dxf>
      <font>
        <b/>
        <i val="0"/>
        <color auto="1"/>
      </font>
    </dxf>
  </dxfs>
  <tableStyles count="0" defaultTableStyle="TableStyleMedium2" defaultPivotStyle="PivotStyleLight16"/>
  <colors>
    <mruColors>
      <color rgb="FF7E5746"/>
      <color rgb="FFF1C30B"/>
      <color rgb="FF5ECA67"/>
      <color rgb="FF81AF67"/>
      <color rgb="FFDA2680"/>
      <color rgb="FFAC899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Histograma</a:t>
            </a:r>
            <a:r>
              <a:rPr lang="en-US" baseline="0"/>
              <a:t> de Grises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2'!$AV$1</c:f>
              <c:strCache>
                <c:ptCount val="1"/>
                <c:pt idx="0">
                  <c:v>Proporción</c:v>
                </c:pt>
              </c:strCache>
            </c:strRef>
          </c:tx>
          <c:spPr>
            <a:solidFill>
              <a:schemeClr val="dk1">
                <a:tint val="88500"/>
              </a:schemeClr>
            </a:solidFill>
            <a:ln>
              <a:noFill/>
            </a:ln>
            <a:effectLst/>
          </c:spPr>
          <c:invertIfNegative val="0"/>
          <c:cat>
            <c:numRef>
              <c:extLst>
                <c:ext xmlns:c15="http://schemas.microsoft.com/office/drawing/2012/chart" uri="{02D57815-91ED-43cb-92C2-25804820EDAC}">
                  <c15:fullRef>
                    <c15:sqref>'Semana 2'!$AU$2:$AU$257</c15:sqref>
                  </c15:fullRef>
                </c:ext>
              </c:extLst>
              <c:f>('Semana 2'!$AU$2,'Semana 2'!$AU$130,'Semana 2'!$AU$257)</c:f>
              <c:numCache>
                <c:formatCode>General</c:formatCode>
                <c:ptCount val="3"/>
                <c:pt idx="0">
                  <c:v>0</c:v>
                </c:pt>
                <c:pt idx="1">
                  <c:v>128</c:v>
                </c:pt>
                <c:pt idx="2">
                  <c:v>255</c:v>
                </c:pt>
              </c:numCache>
            </c:numRef>
          </c:cat>
          <c:val>
            <c:numRef>
              <c:extLst>
                <c:ext xmlns:c15="http://schemas.microsoft.com/office/drawing/2012/chart" uri="{02D57815-91ED-43cb-92C2-25804820EDAC}">
                  <c15:fullRef>
                    <c15:sqref>'Semana 2'!$AV$2:$AV$257</c15:sqref>
                  </c15:fullRef>
                </c:ext>
              </c:extLst>
              <c:f>('Semana 2'!$AV$2,'Semana 2'!$AV$130,'Semana 2'!$AV$257)</c:f>
              <c:numCache>
                <c:formatCode>0.00</c:formatCode>
                <c:ptCount val="3"/>
                <c:pt idx="0">
                  <c:v>0.35416666666666669</c:v>
                </c:pt>
                <c:pt idx="1">
                  <c:v>0.25</c:v>
                </c:pt>
                <c:pt idx="2">
                  <c:v>0.39583333333333331</c:v>
                </c:pt>
              </c:numCache>
            </c:numRef>
          </c:val>
          <c:extLst>
            <c:ext xmlns:c16="http://schemas.microsoft.com/office/drawing/2014/chart" uri="{C3380CC4-5D6E-409C-BE32-E72D297353CC}">
              <c16:uniqueId val="{00000000-F116-48C1-A420-F9E2F27EA309}"/>
            </c:ext>
          </c:extLst>
        </c:ser>
        <c:dLbls>
          <c:showLegendKey val="0"/>
          <c:showVal val="0"/>
          <c:showCatName val="0"/>
          <c:showSerName val="0"/>
          <c:showPercent val="0"/>
          <c:showBubbleSize val="0"/>
        </c:dLbls>
        <c:gapWidth val="219"/>
        <c:overlap val="-27"/>
        <c:axId val="1979931199"/>
        <c:axId val="1979931679"/>
      </c:barChart>
      <c:catAx>
        <c:axId val="1979931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Escala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679"/>
        <c:crosses val="autoZero"/>
        <c:auto val="1"/>
        <c:lblAlgn val="ctr"/>
        <c:lblOffset val="100"/>
        <c:noMultiLvlLbl val="0"/>
      </c:catAx>
      <c:valAx>
        <c:axId val="19799316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Probabilidad / 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1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Histograma</a:t>
            </a:r>
            <a:r>
              <a:rPr lang="en-US" baseline="0"/>
              <a:t> Superior Izquierdo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2'!$AW$1</c:f>
              <c:strCache>
                <c:ptCount val="1"/>
                <c:pt idx="0">
                  <c:v>Prop_sup-izq</c:v>
                </c:pt>
              </c:strCache>
            </c:strRef>
          </c:tx>
          <c:spPr>
            <a:solidFill>
              <a:schemeClr val="dk1">
                <a:tint val="88500"/>
              </a:schemeClr>
            </a:solidFill>
            <a:ln>
              <a:noFill/>
            </a:ln>
            <a:effectLst/>
          </c:spPr>
          <c:invertIfNegative val="0"/>
          <c:cat>
            <c:numRef>
              <c:extLst>
                <c:ext xmlns:c15="http://schemas.microsoft.com/office/drawing/2012/chart" uri="{02D57815-91ED-43cb-92C2-25804820EDAC}">
                  <c15:fullRef>
                    <c15:sqref>'Semana 2'!$AU$2:$AU$257</c15:sqref>
                  </c15:fullRef>
                </c:ext>
              </c:extLst>
              <c:f>('Semana 2'!$AU$2,'Semana 2'!$AU$130,'Semana 2'!$AU$257)</c:f>
              <c:numCache>
                <c:formatCode>General</c:formatCode>
                <c:ptCount val="3"/>
                <c:pt idx="0">
                  <c:v>0</c:v>
                </c:pt>
                <c:pt idx="1">
                  <c:v>128</c:v>
                </c:pt>
                <c:pt idx="2">
                  <c:v>255</c:v>
                </c:pt>
              </c:numCache>
            </c:numRef>
          </c:cat>
          <c:val>
            <c:numRef>
              <c:extLst>
                <c:ext xmlns:c15="http://schemas.microsoft.com/office/drawing/2012/chart" uri="{02D57815-91ED-43cb-92C2-25804820EDAC}">
                  <c15:fullRef>
                    <c15:sqref>'Semana 2'!$AW$2:$AW$257</c15:sqref>
                  </c15:fullRef>
                </c:ext>
              </c:extLst>
              <c:f>('Semana 2'!$AW$2,'Semana 2'!$AW$130,'Semana 2'!$AW$257)</c:f>
              <c:numCache>
                <c:formatCode>0.00</c:formatCode>
                <c:ptCount val="3"/>
                <c:pt idx="0">
                  <c:v>0</c:v>
                </c:pt>
                <c:pt idx="1">
                  <c:v>1</c:v>
                </c:pt>
                <c:pt idx="2">
                  <c:v>0</c:v>
                </c:pt>
              </c:numCache>
            </c:numRef>
          </c:val>
          <c:extLst>
            <c:ext xmlns:c16="http://schemas.microsoft.com/office/drawing/2014/chart" uri="{C3380CC4-5D6E-409C-BE32-E72D297353CC}">
              <c16:uniqueId val="{00000000-89CD-4D41-AC27-50722C6973D8}"/>
            </c:ext>
          </c:extLst>
        </c:ser>
        <c:dLbls>
          <c:showLegendKey val="0"/>
          <c:showVal val="0"/>
          <c:showCatName val="0"/>
          <c:showSerName val="0"/>
          <c:showPercent val="0"/>
          <c:showBubbleSize val="0"/>
        </c:dLbls>
        <c:gapWidth val="219"/>
        <c:overlap val="-27"/>
        <c:axId val="1979931199"/>
        <c:axId val="1979931679"/>
      </c:barChart>
      <c:catAx>
        <c:axId val="1979931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Escala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679"/>
        <c:crosses val="autoZero"/>
        <c:auto val="1"/>
        <c:lblAlgn val="ctr"/>
        <c:lblOffset val="100"/>
        <c:noMultiLvlLbl val="0"/>
      </c:catAx>
      <c:valAx>
        <c:axId val="19799316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Probabilidad / 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1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Histograma</a:t>
            </a:r>
            <a:r>
              <a:rPr lang="en-US" baseline="0"/>
              <a:t> Superior Derecho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2'!$AX$1</c:f>
              <c:strCache>
                <c:ptCount val="1"/>
                <c:pt idx="0">
                  <c:v>Prop_sup-der</c:v>
                </c:pt>
              </c:strCache>
            </c:strRef>
          </c:tx>
          <c:spPr>
            <a:solidFill>
              <a:schemeClr val="dk1">
                <a:tint val="88500"/>
              </a:schemeClr>
            </a:solidFill>
            <a:ln>
              <a:noFill/>
            </a:ln>
            <a:effectLst/>
          </c:spPr>
          <c:invertIfNegative val="0"/>
          <c:cat>
            <c:numRef>
              <c:extLst>
                <c:ext xmlns:c15="http://schemas.microsoft.com/office/drawing/2012/chart" uri="{02D57815-91ED-43cb-92C2-25804820EDAC}">
                  <c15:fullRef>
                    <c15:sqref>'Semana 2'!$AU$2:$AU$257</c15:sqref>
                  </c15:fullRef>
                </c:ext>
              </c:extLst>
              <c:f>('Semana 2'!$AU$2,'Semana 2'!$AU$130,'Semana 2'!$AU$257)</c:f>
              <c:numCache>
                <c:formatCode>General</c:formatCode>
                <c:ptCount val="3"/>
                <c:pt idx="0">
                  <c:v>0</c:v>
                </c:pt>
                <c:pt idx="1">
                  <c:v>128</c:v>
                </c:pt>
                <c:pt idx="2">
                  <c:v>255</c:v>
                </c:pt>
              </c:numCache>
            </c:numRef>
          </c:cat>
          <c:val>
            <c:numRef>
              <c:extLst>
                <c:ext xmlns:c15="http://schemas.microsoft.com/office/drawing/2012/chart" uri="{02D57815-91ED-43cb-92C2-25804820EDAC}">
                  <c15:fullRef>
                    <c15:sqref>'Semana 2'!$AX$2:$AX$257</c15:sqref>
                  </c15:fullRef>
                </c:ext>
              </c:extLst>
              <c:f>('Semana 2'!$AX$2,'Semana 2'!$AX$130,'Semana 2'!$AX$257)</c:f>
              <c:numCache>
                <c:formatCode>0.00</c:formatCode>
                <c:ptCount val="3"/>
                <c:pt idx="0">
                  <c:v>0.41666666666666669</c:v>
                </c:pt>
                <c:pt idx="1">
                  <c:v>0</c:v>
                </c:pt>
                <c:pt idx="2">
                  <c:v>0.58333333333333337</c:v>
                </c:pt>
              </c:numCache>
            </c:numRef>
          </c:val>
          <c:extLst>
            <c:ext xmlns:c16="http://schemas.microsoft.com/office/drawing/2014/chart" uri="{C3380CC4-5D6E-409C-BE32-E72D297353CC}">
              <c16:uniqueId val="{00000000-6DEB-4144-BCD5-DE9547101783}"/>
            </c:ext>
          </c:extLst>
        </c:ser>
        <c:dLbls>
          <c:showLegendKey val="0"/>
          <c:showVal val="0"/>
          <c:showCatName val="0"/>
          <c:showSerName val="0"/>
          <c:showPercent val="0"/>
          <c:showBubbleSize val="0"/>
        </c:dLbls>
        <c:gapWidth val="219"/>
        <c:overlap val="-27"/>
        <c:axId val="1979931199"/>
        <c:axId val="1979931679"/>
      </c:barChart>
      <c:catAx>
        <c:axId val="1979931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Escala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679"/>
        <c:crosses val="autoZero"/>
        <c:auto val="1"/>
        <c:lblAlgn val="ctr"/>
        <c:lblOffset val="100"/>
        <c:noMultiLvlLbl val="0"/>
      </c:catAx>
      <c:valAx>
        <c:axId val="19799316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Probabilidad / 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1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Histograma</a:t>
            </a:r>
            <a:r>
              <a:rPr lang="en-US" baseline="0"/>
              <a:t> Inferior Izquierdo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2'!$AY$1</c:f>
              <c:strCache>
                <c:ptCount val="1"/>
                <c:pt idx="0">
                  <c:v>Prop_sub-izq</c:v>
                </c:pt>
              </c:strCache>
            </c:strRef>
          </c:tx>
          <c:spPr>
            <a:solidFill>
              <a:schemeClr val="dk1">
                <a:tint val="88500"/>
              </a:schemeClr>
            </a:solidFill>
            <a:ln>
              <a:noFill/>
            </a:ln>
            <a:effectLst/>
          </c:spPr>
          <c:invertIfNegative val="0"/>
          <c:cat>
            <c:numRef>
              <c:extLst>
                <c:ext xmlns:c15="http://schemas.microsoft.com/office/drawing/2012/chart" uri="{02D57815-91ED-43cb-92C2-25804820EDAC}">
                  <c15:fullRef>
                    <c15:sqref>'Semana 2'!$AU$2:$AU$257</c15:sqref>
                  </c15:fullRef>
                </c:ext>
              </c:extLst>
              <c:f>('Semana 2'!$AU$2,'Semana 2'!$AU$130,'Semana 2'!$AU$257)</c:f>
              <c:numCache>
                <c:formatCode>General</c:formatCode>
                <c:ptCount val="3"/>
                <c:pt idx="0">
                  <c:v>0</c:v>
                </c:pt>
                <c:pt idx="1">
                  <c:v>128</c:v>
                </c:pt>
                <c:pt idx="2">
                  <c:v>255</c:v>
                </c:pt>
              </c:numCache>
            </c:numRef>
          </c:cat>
          <c:val>
            <c:numRef>
              <c:extLst>
                <c:ext xmlns:c15="http://schemas.microsoft.com/office/drawing/2012/chart" uri="{02D57815-91ED-43cb-92C2-25804820EDAC}">
                  <c15:fullRef>
                    <c15:sqref>'Semana 2'!$AY$2:$AY$257</c15:sqref>
                  </c15:fullRef>
                </c:ext>
              </c:extLst>
              <c:f>('Semana 2'!$AY$2,'Semana 2'!$AY$130,'Semana 2'!$AY$257)</c:f>
              <c:numCache>
                <c:formatCode>0.00</c:formatCode>
                <c:ptCount val="3"/>
                <c:pt idx="0">
                  <c:v>0.5</c:v>
                </c:pt>
                <c:pt idx="1">
                  <c:v>0</c:v>
                </c:pt>
                <c:pt idx="2">
                  <c:v>0.5</c:v>
                </c:pt>
              </c:numCache>
            </c:numRef>
          </c:val>
          <c:extLst>
            <c:ext xmlns:c16="http://schemas.microsoft.com/office/drawing/2014/chart" uri="{C3380CC4-5D6E-409C-BE32-E72D297353CC}">
              <c16:uniqueId val="{00000000-AC2D-438D-9772-2236603F08A4}"/>
            </c:ext>
          </c:extLst>
        </c:ser>
        <c:dLbls>
          <c:showLegendKey val="0"/>
          <c:showVal val="0"/>
          <c:showCatName val="0"/>
          <c:showSerName val="0"/>
          <c:showPercent val="0"/>
          <c:showBubbleSize val="0"/>
        </c:dLbls>
        <c:gapWidth val="219"/>
        <c:overlap val="-27"/>
        <c:axId val="1979931199"/>
        <c:axId val="1979931679"/>
      </c:barChart>
      <c:catAx>
        <c:axId val="1979931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Escala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679"/>
        <c:crosses val="autoZero"/>
        <c:auto val="1"/>
        <c:lblAlgn val="ctr"/>
        <c:lblOffset val="100"/>
        <c:noMultiLvlLbl val="0"/>
      </c:catAx>
      <c:valAx>
        <c:axId val="19799316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Probabilidad / 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1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Histograma</a:t>
            </a:r>
            <a:r>
              <a:rPr lang="en-US" baseline="0"/>
              <a:t> Inferior Derecho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2'!$AZ$1</c:f>
              <c:strCache>
                <c:ptCount val="1"/>
                <c:pt idx="0">
                  <c:v>Prop_sub-der</c:v>
                </c:pt>
              </c:strCache>
            </c:strRef>
          </c:tx>
          <c:spPr>
            <a:solidFill>
              <a:schemeClr val="dk1">
                <a:tint val="88500"/>
              </a:schemeClr>
            </a:solidFill>
            <a:ln>
              <a:noFill/>
            </a:ln>
            <a:effectLst/>
          </c:spPr>
          <c:invertIfNegative val="0"/>
          <c:cat>
            <c:numRef>
              <c:extLst>
                <c:ext xmlns:c15="http://schemas.microsoft.com/office/drawing/2012/chart" uri="{02D57815-91ED-43cb-92C2-25804820EDAC}">
                  <c15:fullRef>
                    <c15:sqref>'Semana 2'!$AU$2:$AU$257</c15:sqref>
                  </c15:fullRef>
                </c:ext>
              </c:extLst>
              <c:f>('Semana 2'!$AU$2,'Semana 2'!$AU$130,'Semana 2'!$AU$257)</c:f>
              <c:numCache>
                <c:formatCode>General</c:formatCode>
                <c:ptCount val="3"/>
                <c:pt idx="0">
                  <c:v>0</c:v>
                </c:pt>
                <c:pt idx="1">
                  <c:v>128</c:v>
                </c:pt>
                <c:pt idx="2">
                  <c:v>255</c:v>
                </c:pt>
              </c:numCache>
            </c:numRef>
          </c:cat>
          <c:val>
            <c:numRef>
              <c:extLst>
                <c:ext xmlns:c15="http://schemas.microsoft.com/office/drawing/2012/chart" uri="{02D57815-91ED-43cb-92C2-25804820EDAC}">
                  <c15:fullRef>
                    <c15:sqref>'Semana 2'!$AZ$2:$AZ$257</c15:sqref>
                  </c15:fullRef>
                </c:ext>
              </c:extLst>
              <c:f>('Semana 2'!$AZ$2,'Semana 2'!$AZ$130,'Semana 2'!$AZ$257)</c:f>
              <c:numCache>
                <c:formatCode>0.00</c:formatCode>
                <c:ptCount val="3"/>
                <c:pt idx="0">
                  <c:v>0.5</c:v>
                </c:pt>
                <c:pt idx="1">
                  <c:v>0</c:v>
                </c:pt>
                <c:pt idx="2">
                  <c:v>0.5</c:v>
                </c:pt>
              </c:numCache>
            </c:numRef>
          </c:val>
          <c:extLst>
            <c:ext xmlns:c16="http://schemas.microsoft.com/office/drawing/2014/chart" uri="{C3380CC4-5D6E-409C-BE32-E72D297353CC}">
              <c16:uniqueId val="{00000000-912D-4D4F-8D25-A0B5DAB7E772}"/>
            </c:ext>
          </c:extLst>
        </c:ser>
        <c:dLbls>
          <c:showLegendKey val="0"/>
          <c:showVal val="0"/>
          <c:showCatName val="0"/>
          <c:showSerName val="0"/>
          <c:showPercent val="0"/>
          <c:showBubbleSize val="0"/>
        </c:dLbls>
        <c:gapWidth val="219"/>
        <c:overlap val="-27"/>
        <c:axId val="1979931199"/>
        <c:axId val="1979931679"/>
      </c:barChart>
      <c:catAx>
        <c:axId val="197993119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Escala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679"/>
        <c:crosses val="autoZero"/>
        <c:auto val="1"/>
        <c:lblAlgn val="ctr"/>
        <c:lblOffset val="100"/>
        <c:noMultiLvlLbl val="0"/>
      </c:catAx>
      <c:valAx>
        <c:axId val="19799316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Probabilidad / 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799311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EHD</a:t>
            </a:r>
            <a:r>
              <a:rPr lang="en-US" baseline="0"/>
              <a:t> Superior Izquierdo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2'!$BI$1</c:f>
              <c:strCache>
                <c:ptCount val="1"/>
                <c:pt idx="0">
                  <c:v>Prop_sup-izq</c:v>
                </c:pt>
              </c:strCache>
            </c:strRef>
          </c:tx>
          <c:spPr>
            <a:solidFill>
              <a:schemeClr val="accent3"/>
            </a:solidFill>
            <a:ln>
              <a:noFill/>
            </a:ln>
            <a:effectLst/>
          </c:spPr>
          <c:invertIfNegative val="0"/>
          <c:cat>
            <c:numRef>
              <c:f>'Semana 2'!$BH$2:$BH$6</c:f>
              <c:numCache>
                <c:formatCode>General</c:formatCode>
                <c:ptCount val="5"/>
                <c:pt idx="0">
                  <c:v>1</c:v>
                </c:pt>
                <c:pt idx="1">
                  <c:v>2</c:v>
                </c:pt>
                <c:pt idx="2">
                  <c:v>3</c:v>
                </c:pt>
                <c:pt idx="3">
                  <c:v>4</c:v>
                </c:pt>
                <c:pt idx="4">
                  <c:v>5</c:v>
                </c:pt>
              </c:numCache>
            </c:numRef>
          </c:cat>
          <c:val>
            <c:numRef>
              <c:f>'Semana 2'!$BI$2:$BI$6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345E-4DB0-8390-533D114F4152}"/>
            </c:ext>
          </c:extLst>
        </c:ser>
        <c:dLbls>
          <c:showLegendKey val="0"/>
          <c:showVal val="0"/>
          <c:showCatName val="0"/>
          <c:showSerName val="0"/>
          <c:showPercent val="0"/>
          <c:showBubbleSize val="0"/>
        </c:dLbls>
        <c:gapWidth val="219"/>
        <c:overlap val="-27"/>
        <c:axId val="1923695952"/>
        <c:axId val="1923692112"/>
      </c:barChart>
      <c:catAx>
        <c:axId val="1923695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Tipo</a:t>
                </a:r>
                <a:r>
                  <a:rPr lang="es-CL" baseline="0"/>
                  <a:t> de Borde</a:t>
                </a:r>
                <a:endParaRPr lang="es-CL"/>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2112"/>
        <c:crosses val="autoZero"/>
        <c:auto val="1"/>
        <c:lblAlgn val="ctr"/>
        <c:lblOffset val="100"/>
        <c:noMultiLvlLbl val="0"/>
      </c:catAx>
      <c:valAx>
        <c:axId val="1923692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5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EHD</a:t>
            </a:r>
            <a:r>
              <a:rPr lang="en-US" baseline="0"/>
              <a:t> Superior Derecho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2'!$BJ$1</c:f>
              <c:strCache>
                <c:ptCount val="1"/>
                <c:pt idx="0">
                  <c:v>Prop_sup-der</c:v>
                </c:pt>
              </c:strCache>
            </c:strRef>
          </c:tx>
          <c:spPr>
            <a:solidFill>
              <a:schemeClr val="accent3"/>
            </a:solidFill>
            <a:ln>
              <a:noFill/>
            </a:ln>
            <a:effectLst/>
          </c:spPr>
          <c:invertIfNegative val="0"/>
          <c:cat>
            <c:numRef>
              <c:f>'Semana 2'!$BH$2:$BH$6</c:f>
              <c:numCache>
                <c:formatCode>General</c:formatCode>
                <c:ptCount val="5"/>
                <c:pt idx="0">
                  <c:v>1</c:v>
                </c:pt>
                <c:pt idx="1">
                  <c:v>2</c:v>
                </c:pt>
                <c:pt idx="2">
                  <c:v>3</c:v>
                </c:pt>
                <c:pt idx="3">
                  <c:v>4</c:v>
                </c:pt>
                <c:pt idx="4">
                  <c:v>5</c:v>
                </c:pt>
              </c:numCache>
            </c:numRef>
          </c:cat>
          <c:val>
            <c:numRef>
              <c:f>'Semana 2'!$BJ$2:$BJ$6</c:f>
              <c:numCache>
                <c:formatCode>General</c:formatCode>
                <c:ptCount val="5"/>
                <c:pt idx="0">
                  <c:v>0</c:v>
                </c:pt>
                <c:pt idx="1">
                  <c:v>0</c:v>
                </c:pt>
                <c:pt idx="2">
                  <c:v>0</c:v>
                </c:pt>
                <c:pt idx="3">
                  <c:v>0</c:v>
                </c:pt>
                <c:pt idx="4">
                  <c:v>1</c:v>
                </c:pt>
              </c:numCache>
            </c:numRef>
          </c:val>
          <c:extLst>
            <c:ext xmlns:c16="http://schemas.microsoft.com/office/drawing/2014/chart" uri="{C3380CC4-5D6E-409C-BE32-E72D297353CC}">
              <c16:uniqueId val="{00000000-6C24-40C7-BB8E-8708B6CF15A3}"/>
            </c:ext>
          </c:extLst>
        </c:ser>
        <c:dLbls>
          <c:showLegendKey val="0"/>
          <c:showVal val="0"/>
          <c:showCatName val="0"/>
          <c:showSerName val="0"/>
          <c:showPercent val="0"/>
          <c:showBubbleSize val="0"/>
        </c:dLbls>
        <c:gapWidth val="219"/>
        <c:overlap val="-27"/>
        <c:axId val="1923695952"/>
        <c:axId val="1923692112"/>
      </c:barChart>
      <c:catAx>
        <c:axId val="1923695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Tipo</a:t>
                </a:r>
                <a:r>
                  <a:rPr lang="es-CL" baseline="0"/>
                  <a:t> de Borde</a:t>
                </a:r>
                <a:endParaRPr lang="es-CL"/>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2112"/>
        <c:crosses val="autoZero"/>
        <c:auto val="1"/>
        <c:lblAlgn val="ctr"/>
        <c:lblOffset val="100"/>
        <c:noMultiLvlLbl val="0"/>
      </c:catAx>
      <c:valAx>
        <c:axId val="1923692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5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EHD</a:t>
            </a:r>
            <a:r>
              <a:rPr lang="en-US" baseline="0"/>
              <a:t> Inferior Izquierdo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2'!$BK$1</c:f>
              <c:strCache>
                <c:ptCount val="1"/>
                <c:pt idx="0">
                  <c:v>Prop_sub-izq</c:v>
                </c:pt>
              </c:strCache>
            </c:strRef>
          </c:tx>
          <c:spPr>
            <a:solidFill>
              <a:schemeClr val="accent3"/>
            </a:solidFill>
            <a:ln>
              <a:noFill/>
            </a:ln>
            <a:effectLst/>
          </c:spPr>
          <c:invertIfNegative val="0"/>
          <c:cat>
            <c:numRef>
              <c:f>'Semana 2'!$BH$2:$BH$6</c:f>
              <c:numCache>
                <c:formatCode>General</c:formatCode>
                <c:ptCount val="5"/>
                <c:pt idx="0">
                  <c:v>1</c:v>
                </c:pt>
                <c:pt idx="1">
                  <c:v>2</c:v>
                </c:pt>
                <c:pt idx="2">
                  <c:v>3</c:v>
                </c:pt>
                <c:pt idx="3">
                  <c:v>4</c:v>
                </c:pt>
                <c:pt idx="4">
                  <c:v>5</c:v>
                </c:pt>
              </c:numCache>
            </c:numRef>
          </c:cat>
          <c:val>
            <c:numRef>
              <c:f>'Semana 2'!$BK$2:$BK$6</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345A-464A-8680-2DDD5E510275}"/>
            </c:ext>
          </c:extLst>
        </c:ser>
        <c:dLbls>
          <c:showLegendKey val="0"/>
          <c:showVal val="0"/>
          <c:showCatName val="0"/>
          <c:showSerName val="0"/>
          <c:showPercent val="0"/>
          <c:showBubbleSize val="0"/>
        </c:dLbls>
        <c:gapWidth val="219"/>
        <c:overlap val="-27"/>
        <c:axId val="1923695952"/>
        <c:axId val="1923692112"/>
      </c:barChart>
      <c:catAx>
        <c:axId val="1923695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Tipo</a:t>
                </a:r>
                <a:r>
                  <a:rPr lang="es-CL" baseline="0"/>
                  <a:t> de Borde</a:t>
                </a:r>
                <a:endParaRPr lang="es-CL"/>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2112"/>
        <c:crosses val="autoZero"/>
        <c:auto val="1"/>
        <c:lblAlgn val="ctr"/>
        <c:lblOffset val="100"/>
        <c:noMultiLvlLbl val="0"/>
      </c:catAx>
      <c:valAx>
        <c:axId val="1923692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5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EHD</a:t>
            </a:r>
            <a:r>
              <a:rPr lang="en-US" baseline="0"/>
              <a:t> Inferior Derecho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2'!$BL$1</c:f>
              <c:strCache>
                <c:ptCount val="1"/>
                <c:pt idx="0">
                  <c:v>Prop_sub-der</c:v>
                </c:pt>
              </c:strCache>
            </c:strRef>
          </c:tx>
          <c:spPr>
            <a:solidFill>
              <a:schemeClr val="accent3"/>
            </a:solidFill>
            <a:ln>
              <a:noFill/>
            </a:ln>
            <a:effectLst/>
          </c:spPr>
          <c:invertIfNegative val="0"/>
          <c:cat>
            <c:numRef>
              <c:f>'Semana 2'!$BH$2:$BH$6</c:f>
              <c:numCache>
                <c:formatCode>General</c:formatCode>
                <c:ptCount val="5"/>
                <c:pt idx="0">
                  <c:v>1</c:v>
                </c:pt>
                <c:pt idx="1">
                  <c:v>2</c:v>
                </c:pt>
                <c:pt idx="2">
                  <c:v>3</c:v>
                </c:pt>
                <c:pt idx="3">
                  <c:v>4</c:v>
                </c:pt>
                <c:pt idx="4">
                  <c:v>5</c:v>
                </c:pt>
              </c:numCache>
            </c:numRef>
          </c:cat>
          <c:val>
            <c:numRef>
              <c:f>'Semana 2'!$BL$2:$BL$6</c:f>
              <c:numCache>
                <c:formatCode>General</c:formatCode>
                <c:ptCount val="5"/>
                <c:pt idx="0">
                  <c:v>0</c:v>
                </c:pt>
                <c:pt idx="1">
                  <c:v>1</c:v>
                </c:pt>
                <c:pt idx="2">
                  <c:v>0</c:v>
                </c:pt>
                <c:pt idx="3">
                  <c:v>0</c:v>
                </c:pt>
                <c:pt idx="4">
                  <c:v>0</c:v>
                </c:pt>
              </c:numCache>
            </c:numRef>
          </c:val>
          <c:extLst>
            <c:ext xmlns:c16="http://schemas.microsoft.com/office/drawing/2014/chart" uri="{C3380CC4-5D6E-409C-BE32-E72D297353CC}">
              <c16:uniqueId val="{00000000-5CCA-4D8C-81EB-9AB9E3CCA24F}"/>
            </c:ext>
          </c:extLst>
        </c:ser>
        <c:dLbls>
          <c:showLegendKey val="0"/>
          <c:showVal val="0"/>
          <c:showCatName val="0"/>
          <c:showSerName val="0"/>
          <c:showPercent val="0"/>
          <c:showBubbleSize val="0"/>
        </c:dLbls>
        <c:gapWidth val="219"/>
        <c:overlap val="-27"/>
        <c:axId val="1923695952"/>
        <c:axId val="1923692112"/>
      </c:barChart>
      <c:catAx>
        <c:axId val="1923695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Tipo</a:t>
                </a:r>
                <a:r>
                  <a:rPr lang="es-CL" baseline="0"/>
                  <a:t> de Borde</a:t>
                </a:r>
                <a:endParaRPr lang="es-CL"/>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2112"/>
        <c:crosses val="autoZero"/>
        <c:auto val="1"/>
        <c:lblAlgn val="ctr"/>
        <c:lblOffset val="100"/>
        <c:noMultiLvlLbl val="0"/>
      </c:catAx>
      <c:valAx>
        <c:axId val="1923692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1923695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HOG</a:t>
            </a:r>
            <a:r>
              <a:rPr lang="es-CL" baseline="0"/>
              <a:t> Superior Izquierdo</a:t>
            </a:r>
            <a:endParaRPr lang="es-C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2'!$BC$1</c:f>
              <c:strCache>
                <c:ptCount val="1"/>
                <c:pt idx="0">
                  <c:v>Prop_sup-izq</c:v>
                </c:pt>
              </c:strCache>
            </c:strRef>
          </c:tx>
          <c:spPr>
            <a:solidFill>
              <a:schemeClr val="accent3"/>
            </a:solidFill>
            <a:ln>
              <a:noFill/>
            </a:ln>
            <a:effectLst/>
          </c:spPr>
          <c:invertIfNegative val="0"/>
          <c:cat>
            <c:numRef>
              <c:f>'Semana 2'!$BB$2:$BB$182</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cat>
          <c:val>
            <c:numRef>
              <c:f>'Semana 2'!$BC$2:$BC$182</c:f>
              <c:numCache>
                <c:formatCode>0.00</c:formatCode>
                <c:ptCount val="181"/>
                <c:pt idx="0">
                  <c:v>0.1111111111111111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0.1111111111111111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0.1111111111111111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0.1111111111111111</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0.33333333333333331</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0.1111111111111111</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0.1111111111111111</c:v>
                </c:pt>
              </c:numCache>
            </c:numRef>
          </c:val>
          <c:extLst>
            <c:ext xmlns:c16="http://schemas.microsoft.com/office/drawing/2014/chart" uri="{C3380CC4-5D6E-409C-BE32-E72D297353CC}">
              <c16:uniqueId val="{00000000-BB0D-4261-BE93-63C63BA62035}"/>
            </c:ext>
          </c:extLst>
        </c:ser>
        <c:dLbls>
          <c:showLegendKey val="0"/>
          <c:showVal val="0"/>
          <c:showCatName val="0"/>
          <c:showSerName val="0"/>
          <c:showPercent val="0"/>
          <c:showBubbleSize val="0"/>
        </c:dLbls>
        <c:gapWidth val="219"/>
        <c:overlap val="-27"/>
        <c:axId val="517595216"/>
        <c:axId val="517589936"/>
      </c:barChart>
      <c:catAx>
        <c:axId val="517595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Ángulos</a:t>
                </a:r>
                <a:r>
                  <a:rPr lang="es-CL" baseline="0"/>
                  <a:t> en </a:t>
                </a:r>
                <a:r>
                  <a:rPr lang="es-CL"/>
                  <a:t>intervalos</a:t>
                </a:r>
                <a:r>
                  <a:rPr lang="es-CL" baseline="0"/>
                  <a:t> de [x, x+1</a:t>
                </a:r>
                <a:r>
                  <a:rPr lang="es-CL"/>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89936"/>
        <c:crosses val="autoZero"/>
        <c:auto val="1"/>
        <c:lblAlgn val="ctr"/>
        <c:lblOffset val="100"/>
        <c:noMultiLvlLbl val="0"/>
      </c:catAx>
      <c:valAx>
        <c:axId val="517589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95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HOG</a:t>
            </a:r>
            <a:r>
              <a:rPr lang="es-CL" baseline="0"/>
              <a:t> Superior Derecho</a:t>
            </a:r>
            <a:endParaRPr lang="es-C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2'!$BD$1</c:f>
              <c:strCache>
                <c:ptCount val="1"/>
                <c:pt idx="0">
                  <c:v>Prop_sup-der</c:v>
                </c:pt>
              </c:strCache>
            </c:strRef>
          </c:tx>
          <c:spPr>
            <a:solidFill>
              <a:schemeClr val="accent3"/>
            </a:solidFill>
            <a:ln>
              <a:noFill/>
            </a:ln>
            <a:effectLst/>
          </c:spPr>
          <c:invertIfNegative val="0"/>
          <c:cat>
            <c:numRef>
              <c:f>'Semana 2'!$BB$2:$BB$182</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cat>
          <c:val>
            <c:numRef>
              <c:f>'Semana 2'!$BD$2:$BD$182</c:f>
              <c:numCache>
                <c:formatCode>0.00</c:formatCode>
                <c:ptCount val="181"/>
                <c:pt idx="0">
                  <c:v>0.14285714285714285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9.5238095238095233E-2</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9.5238095238095233E-2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0.5714285714285714</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4.7619047619047616E-2</c:v>
                </c:pt>
                <c:pt idx="167">
                  <c:v>0</c:v>
                </c:pt>
                <c:pt idx="168">
                  <c:v>0</c:v>
                </c:pt>
                <c:pt idx="169">
                  <c:v>0</c:v>
                </c:pt>
                <c:pt idx="170">
                  <c:v>0</c:v>
                </c:pt>
                <c:pt idx="171">
                  <c:v>0</c:v>
                </c:pt>
                <c:pt idx="172">
                  <c:v>0</c:v>
                </c:pt>
                <c:pt idx="173">
                  <c:v>0</c:v>
                </c:pt>
                <c:pt idx="174">
                  <c:v>0</c:v>
                </c:pt>
                <c:pt idx="175">
                  <c:v>0</c:v>
                </c:pt>
                <c:pt idx="176">
                  <c:v>0</c:v>
                </c:pt>
                <c:pt idx="177">
                  <c:v>0</c:v>
                </c:pt>
                <c:pt idx="178">
                  <c:v>0</c:v>
                </c:pt>
                <c:pt idx="179">
                  <c:v>4.7619047619047616E-2</c:v>
                </c:pt>
                <c:pt idx="180">
                  <c:v>0</c:v>
                </c:pt>
              </c:numCache>
            </c:numRef>
          </c:val>
          <c:extLst>
            <c:ext xmlns:c16="http://schemas.microsoft.com/office/drawing/2014/chart" uri="{C3380CC4-5D6E-409C-BE32-E72D297353CC}">
              <c16:uniqueId val="{00000000-BAA9-4A7F-A20A-BEA0E2524502}"/>
            </c:ext>
          </c:extLst>
        </c:ser>
        <c:dLbls>
          <c:showLegendKey val="0"/>
          <c:showVal val="0"/>
          <c:showCatName val="0"/>
          <c:showSerName val="0"/>
          <c:showPercent val="0"/>
          <c:showBubbleSize val="0"/>
        </c:dLbls>
        <c:gapWidth val="219"/>
        <c:overlap val="-27"/>
        <c:axId val="517595216"/>
        <c:axId val="517589936"/>
      </c:barChart>
      <c:catAx>
        <c:axId val="517595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Ángulos</a:t>
                </a:r>
                <a:r>
                  <a:rPr lang="es-CL" baseline="0"/>
                  <a:t> en </a:t>
                </a:r>
                <a:r>
                  <a:rPr lang="es-CL"/>
                  <a:t>intervalos</a:t>
                </a:r>
                <a:r>
                  <a:rPr lang="es-CL" baseline="0"/>
                  <a:t> de [x, x+1</a:t>
                </a:r>
                <a:r>
                  <a:rPr lang="es-CL"/>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89936"/>
        <c:crosses val="autoZero"/>
        <c:auto val="1"/>
        <c:lblAlgn val="ctr"/>
        <c:lblOffset val="100"/>
        <c:noMultiLvlLbl val="0"/>
      </c:catAx>
      <c:valAx>
        <c:axId val="517589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95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HOG</a:t>
            </a:r>
            <a:r>
              <a:rPr lang="es-CL" baseline="0"/>
              <a:t> Inferior Izquierdo</a:t>
            </a:r>
            <a:endParaRPr lang="es-C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2'!$BE$1</c:f>
              <c:strCache>
                <c:ptCount val="1"/>
                <c:pt idx="0">
                  <c:v>Prop_sub-izq</c:v>
                </c:pt>
              </c:strCache>
            </c:strRef>
          </c:tx>
          <c:spPr>
            <a:solidFill>
              <a:schemeClr val="accent3"/>
            </a:solidFill>
            <a:ln>
              <a:noFill/>
            </a:ln>
            <a:effectLst/>
          </c:spPr>
          <c:invertIfNegative val="0"/>
          <c:cat>
            <c:numRef>
              <c:f>'Semana 2'!$BB$2:$BB$182</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cat>
          <c:val>
            <c:numRef>
              <c:f>'Semana 2'!$BE$2:$BE$182</c:f>
              <c:numCache>
                <c:formatCode>0.00</c:formatCode>
                <c:ptCount val="181"/>
                <c:pt idx="0">
                  <c:v>6.25E-2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6.25E-2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6.25E-2</c:v>
                </c:pt>
                <c:pt idx="64">
                  <c:v>0</c:v>
                </c:pt>
                <c:pt idx="65">
                  <c:v>0</c:v>
                </c:pt>
                <c:pt idx="66">
                  <c:v>0</c:v>
                </c:pt>
                <c:pt idx="67">
                  <c:v>0</c:v>
                </c:pt>
                <c:pt idx="68">
                  <c:v>0</c:v>
                </c:pt>
                <c:pt idx="69">
                  <c:v>0</c:v>
                </c:pt>
                <c:pt idx="70">
                  <c:v>0</c:v>
                </c:pt>
                <c:pt idx="71">
                  <c:v>0</c:v>
                </c:pt>
                <c:pt idx="72">
                  <c:v>0</c:v>
                </c:pt>
                <c:pt idx="73">
                  <c:v>0</c:v>
                </c:pt>
                <c:pt idx="74">
                  <c:v>0</c:v>
                </c:pt>
                <c:pt idx="75">
                  <c:v>6.25E-2</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0.625</c:v>
                </c:pt>
                <c:pt idx="91">
                  <c:v>0</c:v>
                </c:pt>
                <c:pt idx="92">
                  <c:v>0</c:v>
                </c:pt>
                <c:pt idx="93">
                  <c:v>0</c:v>
                </c:pt>
                <c:pt idx="94">
                  <c:v>0</c:v>
                </c:pt>
                <c:pt idx="95">
                  <c:v>0</c:v>
                </c:pt>
                <c:pt idx="96">
                  <c:v>0</c:v>
                </c:pt>
                <c:pt idx="97">
                  <c:v>0</c:v>
                </c:pt>
                <c:pt idx="98">
                  <c:v>0</c:v>
                </c:pt>
                <c:pt idx="99">
                  <c:v>0</c:v>
                </c:pt>
                <c:pt idx="100">
                  <c:v>0</c:v>
                </c:pt>
                <c:pt idx="101">
                  <c:v>0</c:v>
                </c:pt>
                <c:pt idx="102">
                  <c:v>0</c:v>
                </c:pt>
                <c:pt idx="103">
                  <c:v>6.25E-2</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6.25E-2</c:v>
                </c:pt>
              </c:numCache>
            </c:numRef>
          </c:val>
          <c:extLst>
            <c:ext xmlns:c16="http://schemas.microsoft.com/office/drawing/2014/chart" uri="{C3380CC4-5D6E-409C-BE32-E72D297353CC}">
              <c16:uniqueId val="{00000000-723B-48CD-9B3F-6E2BC246EE90}"/>
            </c:ext>
          </c:extLst>
        </c:ser>
        <c:dLbls>
          <c:showLegendKey val="0"/>
          <c:showVal val="0"/>
          <c:showCatName val="0"/>
          <c:showSerName val="0"/>
          <c:showPercent val="0"/>
          <c:showBubbleSize val="0"/>
        </c:dLbls>
        <c:gapWidth val="219"/>
        <c:overlap val="-27"/>
        <c:axId val="517595216"/>
        <c:axId val="517589936"/>
      </c:barChart>
      <c:catAx>
        <c:axId val="517595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Ángulos</a:t>
                </a:r>
                <a:r>
                  <a:rPr lang="es-CL" baseline="0"/>
                  <a:t> en </a:t>
                </a:r>
                <a:r>
                  <a:rPr lang="es-CL"/>
                  <a:t>intervalos</a:t>
                </a:r>
                <a:r>
                  <a:rPr lang="es-CL" baseline="0"/>
                  <a:t> de [x, x+1</a:t>
                </a:r>
                <a:r>
                  <a:rPr lang="es-CL"/>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89936"/>
        <c:crosses val="autoZero"/>
        <c:auto val="1"/>
        <c:lblAlgn val="ctr"/>
        <c:lblOffset val="100"/>
        <c:noMultiLvlLbl val="0"/>
      </c:catAx>
      <c:valAx>
        <c:axId val="517589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95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L"/>
              <a:t>HOG</a:t>
            </a:r>
            <a:r>
              <a:rPr lang="es-CL" baseline="0"/>
              <a:t> Inferior Derecho</a:t>
            </a:r>
            <a:endParaRPr lang="es-CL"/>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2'!$BD$1</c:f>
              <c:strCache>
                <c:ptCount val="1"/>
                <c:pt idx="0">
                  <c:v>Prop_sup-der</c:v>
                </c:pt>
              </c:strCache>
            </c:strRef>
          </c:tx>
          <c:spPr>
            <a:solidFill>
              <a:schemeClr val="accent3"/>
            </a:solidFill>
            <a:ln>
              <a:noFill/>
            </a:ln>
            <a:effectLst/>
          </c:spPr>
          <c:invertIfNegative val="0"/>
          <c:cat>
            <c:numRef>
              <c:f>'Semana 2'!$BB$2:$BB$182</c:f>
              <c:numCache>
                <c:formatCode>General</c:formatCode>
                <c:ptCount val="18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numCache>
            </c:numRef>
          </c:cat>
          <c:val>
            <c:numRef>
              <c:f>'Semana 2'!$BD$2:$BD$182</c:f>
              <c:numCache>
                <c:formatCode>0.00</c:formatCode>
                <c:ptCount val="181"/>
                <c:pt idx="0">
                  <c:v>0.14285714285714285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9.5238095238095233E-2</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9.5238095238095233E-2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0.5714285714285714</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4.7619047619047616E-2</c:v>
                </c:pt>
                <c:pt idx="167">
                  <c:v>0</c:v>
                </c:pt>
                <c:pt idx="168">
                  <c:v>0</c:v>
                </c:pt>
                <c:pt idx="169">
                  <c:v>0</c:v>
                </c:pt>
                <c:pt idx="170">
                  <c:v>0</c:v>
                </c:pt>
                <c:pt idx="171">
                  <c:v>0</c:v>
                </c:pt>
                <c:pt idx="172">
                  <c:v>0</c:v>
                </c:pt>
                <c:pt idx="173">
                  <c:v>0</c:v>
                </c:pt>
                <c:pt idx="174">
                  <c:v>0</c:v>
                </c:pt>
                <c:pt idx="175">
                  <c:v>0</c:v>
                </c:pt>
                <c:pt idx="176">
                  <c:v>0</c:v>
                </c:pt>
                <c:pt idx="177">
                  <c:v>0</c:v>
                </c:pt>
                <c:pt idx="178">
                  <c:v>0</c:v>
                </c:pt>
                <c:pt idx="179">
                  <c:v>4.7619047619047616E-2</c:v>
                </c:pt>
                <c:pt idx="180">
                  <c:v>0</c:v>
                </c:pt>
              </c:numCache>
            </c:numRef>
          </c:val>
          <c:extLst>
            <c:ext xmlns:c16="http://schemas.microsoft.com/office/drawing/2014/chart" uri="{C3380CC4-5D6E-409C-BE32-E72D297353CC}">
              <c16:uniqueId val="{00000000-E69B-4244-B6E9-CAACFFF00FCE}"/>
            </c:ext>
          </c:extLst>
        </c:ser>
        <c:dLbls>
          <c:showLegendKey val="0"/>
          <c:showVal val="0"/>
          <c:showCatName val="0"/>
          <c:showSerName val="0"/>
          <c:showPercent val="0"/>
          <c:showBubbleSize val="0"/>
        </c:dLbls>
        <c:gapWidth val="219"/>
        <c:overlap val="-27"/>
        <c:axId val="517595216"/>
        <c:axId val="517589936"/>
      </c:barChart>
      <c:catAx>
        <c:axId val="517595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Ángulos</a:t>
                </a:r>
                <a:r>
                  <a:rPr lang="es-CL" baseline="0"/>
                  <a:t> en </a:t>
                </a:r>
                <a:r>
                  <a:rPr lang="es-CL"/>
                  <a:t>intervalos</a:t>
                </a:r>
                <a:r>
                  <a:rPr lang="es-CL" baseline="0"/>
                  <a:t> de [x, x+1</a:t>
                </a:r>
                <a:r>
                  <a:rPr lang="es-CL"/>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89936"/>
        <c:crosses val="autoZero"/>
        <c:auto val="1"/>
        <c:lblAlgn val="ctr"/>
        <c:lblOffset val="100"/>
        <c:noMultiLvlLbl val="0"/>
      </c:catAx>
      <c:valAx>
        <c:axId val="517589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517595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t>Histograma Imagen</a:t>
            </a:r>
            <a:r>
              <a:rPr lang="en-US" baseline="0"/>
              <a:t> </a:t>
            </a:r>
            <a:r>
              <a:rPr lang="en-US"/>
              <a:t>LCB</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3'!$Z$1</c:f>
              <c:strCache>
                <c:ptCount val="1"/>
                <c:pt idx="0">
                  <c:v>Proporción</c:v>
                </c:pt>
              </c:strCache>
            </c:strRef>
          </c:tx>
          <c:spPr>
            <a:noFill/>
            <a:ln w="25400" cap="flat" cmpd="sng" algn="ctr">
              <a:solidFill>
                <a:schemeClr val="accent3"/>
              </a:solidFill>
              <a:miter lim="800000"/>
            </a:ln>
            <a:effectLst/>
          </c:spPr>
          <c:invertIfNegative val="0"/>
          <c:cat>
            <c:numRef>
              <c:f>'Semana 3'!$Y$2:$Y$257</c:f>
              <c:numCache>
                <c:formatCode>General</c:formatCode>
                <c:ptCount val="2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numCache>
            </c:numRef>
          </c:cat>
          <c:val>
            <c:numRef>
              <c:f>'Semana 3'!$Z$2:$Z$257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0.33333333333333331</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0.33333333333333331</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0.33333333333333331</c:v>
                </c:pt>
              </c:numCache>
            </c:numRef>
          </c:val>
          <c:extLst>
            <c:ext xmlns:c16="http://schemas.microsoft.com/office/drawing/2014/chart" uri="{C3380CC4-5D6E-409C-BE32-E72D297353CC}">
              <c16:uniqueId val="{00000000-9F94-464E-A50D-2B71F4AAF7F4}"/>
            </c:ext>
          </c:extLst>
        </c:ser>
        <c:dLbls>
          <c:showLegendKey val="0"/>
          <c:showVal val="0"/>
          <c:showCatName val="0"/>
          <c:showSerName val="0"/>
          <c:showPercent val="0"/>
          <c:showBubbleSize val="0"/>
        </c:dLbls>
        <c:gapWidth val="164"/>
        <c:overlap val="-35"/>
        <c:axId val="449343120"/>
        <c:axId val="449339760"/>
      </c:barChart>
      <c:catAx>
        <c:axId val="44934312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r>
                  <a:rPr lang="es-CL"/>
                  <a:t>Escala</a:t>
                </a:r>
                <a:r>
                  <a:rPr lang="es-CL" baseline="0"/>
                  <a:t> de gris</a:t>
                </a:r>
                <a:endParaRPr lang="es-CL"/>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449339760"/>
        <c:crosses val="autoZero"/>
        <c:auto val="1"/>
        <c:lblAlgn val="ctr"/>
        <c:lblOffset val="100"/>
        <c:noMultiLvlLbl val="0"/>
      </c:catAx>
      <c:valAx>
        <c:axId val="449339760"/>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r>
                  <a:rPr lang="es-CL"/>
                  <a:t>Proporción</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449343120"/>
        <c:crosses val="autoZero"/>
        <c:crossBetween val="between"/>
      </c:valAx>
      <c:spPr>
        <a:pattFill prst="dotGrid">
          <a:fgClr>
            <a:sysClr val="windowText" lastClr="000000">
              <a:lumMod val="50000"/>
              <a:lumOff val="50000"/>
            </a:sysClr>
          </a:fgClr>
          <a:bgClr>
            <a:schemeClr val="bg1"/>
          </a:bgClr>
        </a:patt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s-CL"/>
              <a:t>Histograma Canal Red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4'!$AB$1</c:f>
              <c:strCache>
                <c:ptCount val="1"/>
                <c:pt idx="0">
                  <c:v>Prop_R</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rgbClr val="C00000"/>
              </a:solidFill>
              <a:round/>
            </a:ln>
            <a:effectLst/>
          </c:spPr>
          <c:invertIfNegative val="0"/>
          <c:cat>
            <c:numRef>
              <c:f>'Semana 4'!$AA$2:$AA$258</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pt idx="133">
                  <c:v>132</c:v>
                </c:pt>
                <c:pt idx="134">
                  <c:v>133</c:v>
                </c:pt>
                <c:pt idx="135">
                  <c:v>134</c:v>
                </c:pt>
                <c:pt idx="136">
                  <c:v>135</c:v>
                </c:pt>
                <c:pt idx="137">
                  <c:v>136</c:v>
                </c:pt>
                <c:pt idx="138">
                  <c:v>137</c:v>
                </c:pt>
                <c:pt idx="139">
                  <c:v>138</c:v>
                </c:pt>
                <c:pt idx="140">
                  <c:v>139</c:v>
                </c:pt>
                <c:pt idx="141">
                  <c:v>140</c:v>
                </c:pt>
                <c:pt idx="142">
                  <c:v>141</c:v>
                </c:pt>
                <c:pt idx="143">
                  <c:v>142</c:v>
                </c:pt>
                <c:pt idx="144">
                  <c:v>143</c:v>
                </c:pt>
                <c:pt idx="145">
                  <c:v>144</c:v>
                </c:pt>
                <c:pt idx="146">
                  <c:v>145</c:v>
                </c:pt>
                <c:pt idx="147">
                  <c:v>146</c:v>
                </c:pt>
                <c:pt idx="148">
                  <c:v>147</c:v>
                </c:pt>
                <c:pt idx="149">
                  <c:v>148</c:v>
                </c:pt>
                <c:pt idx="150">
                  <c:v>149</c:v>
                </c:pt>
                <c:pt idx="151">
                  <c:v>150</c:v>
                </c:pt>
                <c:pt idx="152">
                  <c:v>151</c:v>
                </c:pt>
                <c:pt idx="153">
                  <c:v>152</c:v>
                </c:pt>
                <c:pt idx="154">
                  <c:v>153</c:v>
                </c:pt>
                <c:pt idx="155">
                  <c:v>154</c:v>
                </c:pt>
                <c:pt idx="156">
                  <c:v>155</c:v>
                </c:pt>
                <c:pt idx="157">
                  <c:v>156</c:v>
                </c:pt>
                <c:pt idx="158">
                  <c:v>157</c:v>
                </c:pt>
                <c:pt idx="159">
                  <c:v>158</c:v>
                </c:pt>
                <c:pt idx="160">
                  <c:v>159</c:v>
                </c:pt>
                <c:pt idx="161">
                  <c:v>160</c:v>
                </c:pt>
                <c:pt idx="162">
                  <c:v>161</c:v>
                </c:pt>
                <c:pt idx="163">
                  <c:v>162</c:v>
                </c:pt>
                <c:pt idx="164">
                  <c:v>163</c:v>
                </c:pt>
                <c:pt idx="165">
                  <c:v>164</c:v>
                </c:pt>
                <c:pt idx="166">
                  <c:v>165</c:v>
                </c:pt>
                <c:pt idx="167">
                  <c:v>166</c:v>
                </c:pt>
                <c:pt idx="168">
                  <c:v>167</c:v>
                </c:pt>
                <c:pt idx="169">
                  <c:v>168</c:v>
                </c:pt>
                <c:pt idx="170">
                  <c:v>169</c:v>
                </c:pt>
                <c:pt idx="171">
                  <c:v>170</c:v>
                </c:pt>
                <c:pt idx="172">
                  <c:v>171</c:v>
                </c:pt>
                <c:pt idx="173">
                  <c:v>172</c:v>
                </c:pt>
                <c:pt idx="174">
                  <c:v>173</c:v>
                </c:pt>
                <c:pt idx="175">
                  <c:v>174</c:v>
                </c:pt>
                <c:pt idx="176">
                  <c:v>175</c:v>
                </c:pt>
                <c:pt idx="177">
                  <c:v>176</c:v>
                </c:pt>
                <c:pt idx="178">
                  <c:v>177</c:v>
                </c:pt>
                <c:pt idx="179">
                  <c:v>178</c:v>
                </c:pt>
                <c:pt idx="180">
                  <c:v>179</c:v>
                </c:pt>
                <c:pt idx="181">
                  <c:v>180</c:v>
                </c:pt>
                <c:pt idx="182">
                  <c:v>181</c:v>
                </c:pt>
                <c:pt idx="183">
                  <c:v>182</c:v>
                </c:pt>
                <c:pt idx="184">
                  <c:v>183</c:v>
                </c:pt>
                <c:pt idx="185">
                  <c:v>184</c:v>
                </c:pt>
                <c:pt idx="186">
                  <c:v>185</c:v>
                </c:pt>
                <c:pt idx="187">
                  <c:v>186</c:v>
                </c:pt>
                <c:pt idx="188">
                  <c:v>187</c:v>
                </c:pt>
                <c:pt idx="189">
                  <c:v>188</c:v>
                </c:pt>
                <c:pt idx="190">
                  <c:v>189</c:v>
                </c:pt>
                <c:pt idx="191">
                  <c:v>190</c:v>
                </c:pt>
                <c:pt idx="192">
                  <c:v>191</c:v>
                </c:pt>
                <c:pt idx="193">
                  <c:v>192</c:v>
                </c:pt>
                <c:pt idx="194">
                  <c:v>193</c:v>
                </c:pt>
                <c:pt idx="195">
                  <c:v>194</c:v>
                </c:pt>
                <c:pt idx="196">
                  <c:v>195</c:v>
                </c:pt>
                <c:pt idx="197">
                  <c:v>196</c:v>
                </c:pt>
                <c:pt idx="198">
                  <c:v>197</c:v>
                </c:pt>
                <c:pt idx="199">
                  <c:v>198</c:v>
                </c:pt>
                <c:pt idx="200">
                  <c:v>199</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numCache>
            </c:numRef>
          </c:cat>
          <c:val>
            <c:numRef>
              <c:f>'Semana 4'!$AB$2:$AB$258</c:f>
              <c:numCache>
                <c:formatCode>General</c:formatCode>
                <c:ptCount val="257"/>
                <c:pt idx="0">
                  <c:v>0.14814814814814814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0.85185185185185186</c:v>
                </c:pt>
              </c:numCache>
            </c:numRef>
          </c:val>
          <c:extLst>
            <c:ext xmlns:c16="http://schemas.microsoft.com/office/drawing/2014/chart" uri="{C3380CC4-5D6E-409C-BE32-E72D297353CC}">
              <c16:uniqueId val="{00000000-520F-4901-B586-ED58A01270FF}"/>
            </c:ext>
          </c:extLst>
        </c:ser>
        <c:dLbls>
          <c:showLegendKey val="0"/>
          <c:showVal val="0"/>
          <c:showCatName val="0"/>
          <c:showSerName val="0"/>
          <c:showPercent val="0"/>
          <c:showBubbleSize val="0"/>
        </c:dLbls>
        <c:gapWidth val="100"/>
        <c:overlap val="-24"/>
        <c:axId val="1983430272"/>
        <c:axId val="1983432672"/>
      </c:barChart>
      <c:catAx>
        <c:axId val="198343027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s-CL" cap="none" baseline="0"/>
                  <a:t>Escala de grises</a:t>
                </a:r>
              </a:p>
            </c:rich>
          </c:tx>
          <c:layout>
            <c:manualLayout>
              <c:xMode val="edge"/>
              <c:yMode val="edge"/>
              <c:x val="0.4576793525809274"/>
              <c:y val="0.898217410323709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1983432672"/>
        <c:crosses val="autoZero"/>
        <c:auto val="1"/>
        <c:lblAlgn val="ctr"/>
        <c:lblOffset val="100"/>
        <c:noMultiLvlLbl val="0"/>
      </c:catAx>
      <c:valAx>
        <c:axId val="1983432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ln>
                      <a:noFill/>
                    </a:ln>
                    <a:solidFill>
                      <a:sysClr val="windowText" lastClr="000000">
                        <a:lumMod val="50000"/>
                        <a:lumOff val="50000"/>
                      </a:sysClr>
                    </a:solidFill>
                    <a:latin typeface="+mn-lt"/>
                    <a:ea typeface="+mn-ea"/>
                    <a:cs typeface="+mn-cs"/>
                  </a:defRPr>
                </a:pPr>
                <a:r>
                  <a:rPr lang="es-CL" cap="none" baseline="0">
                    <a:ln>
                      <a:noFill/>
                    </a:ln>
                    <a:solidFill>
                      <a:sysClr val="windowText" lastClr="000000">
                        <a:lumMod val="50000"/>
                        <a:lumOff val="50000"/>
                      </a:sysClr>
                    </a:solidFill>
                  </a:rPr>
                  <a:t>Proporción</a:t>
                </a:r>
              </a:p>
            </c:rich>
          </c:tx>
          <c:overlay val="0"/>
          <c:spPr>
            <a:noFill/>
            <a:ln>
              <a:noFill/>
            </a:ln>
            <a:effectLst/>
          </c:spPr>
          <c:txPr>
            <a:bodyPr rot="-5400000" spcFirstLastPara="1" vertOverflow="ellipsis" vert="horz" wrap="square" anchor="ctr" anchorCtr="1"/>
            <a:lstStyle/>
            <a:p>
              <a:pPr>
                <a:defRPr sz="900" b="0" i="0" u="none" strike="noStrike" kern="1200" cap="all" baseline="0">
                  <a:ln>
                    <a:noFill/>
                  </a:ln>
                  <a:solidFill>
                    <a:sysClr val="windowText" lastClr="000000">
                      <a:lumMod val="50000"/>
                      <a:lumOff val="50000"/>
                    </a:sys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1983430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s-CL"/>
              <a:t>Histograma Canal Green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4'!$AC$1</c:f>
              <c:strCache>
                <c:ptCount val="1"/>
                <c:pt idx="0">
                  <c:v>Prop_G</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6">
                  <a:lumMod val="75000"/>
                </a:schemeClr>
              </a:solidFill>
              <a:round/>
            </a:ln>
            <a:effectLst/>
          </c:spPr>
          <c:invertIfNegative val="0"/>
          <c:cat>
            <c:numRef>
              <c:f>'Semana 4'!$AA$2:$AA$258</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pt idx="133">
                  <c:v>132</c:v>
                </c:pt>
                <c:pt idx="134">
                  <c:v>133</c:v>
                </c:pt>
                <c:pt idx="135">
                  <c:v>134</c:v>
                </c:pt>
                <c:pt idx="136">
                  <c:v>135</c:v>
                </c:pt>
                <c:pt idx="137">
                  <c:v>136</c:v>
                </c:pt>
                <c:pt idx="138">
                  <c:v>137</c:v>
                </c:pt>
                <c:pt idx="139">
                  <c:v>138</c:v>
                </c:pt>
                <c:pt idx="140">
                  <c:v>139</c:v>
                </c:pt>
                <c:pt idx="141">
                  <c:v>140</c:v>
                </c:pt>
                <c:pt idx="142">
                  <c:v>141</c:v>
                </c:pt>
                <c:pt idx="143">
                  <c:v>142</c:v>
                </c:pt>
                <c:pt idx="144">
                  <c:v>143</c:v>
                </c:pt>
                <c:pt idx="145">
                  <c:v>144</c:v>
                </c:pt>
                <c:pt idx="146">
                  <c:v>145</c:v>
                </c:pt>
                <c:pt idx="147">
                  <c:v>146</c:v>
                </c:pt>
                <c:pt idx="148">
                  <c:v>147</c:v>
                </c:pt>
                <c:pt idx="149">
                  <c:v>148</c:v>
                </c:pt>
                <c:pt idx="150">
                  <c:v>149</c:v>
                </c:pt>
                <c:pt idx="151">
                  <c:v>150</c:v>
                </c:pt>
                <c:pt idx="152">
                  <c:v>151</c:v>
                </c:pt>
                <c:pt idx="153">
                  <c:v>152</c:v>
                </c:pt>
                <c:pt idx="154">
                  <c:v>153</c:v>
                </c:pt>
                <c:pt idx="155">
                  <c:v>154</c:v>
                </c:pt>
                <c:pt idx="156">
                  <c:v>155</c:v>
                </c:pt>
                <c:pt idx="157">
                  <c:v>156</c:v>
                </c:pt>
                <c:pt idx="158">
                  <c:v>157</c:v>
                </c:pt>
                <c:pt idx="159">
                  <c:v>158</c:v>
                </c:pt>
                <c:pt idx="160">
                  <c:v>159</c:v>
                </c:pt>
                <c:pt idx="161">
                  <c:v>160</c:v>
                </c:pt>
                <c:pt idx="162">
                  <c:v>161</c:v>
                </c:pt>
                <c:pt idx="163">
                  <c:v>162</c:v>
                </c:pt>
                <c:pt idx="164">
                  <c:v>163</c:v>
                </c:pt>
                <c:pt idx="165">
                  <c:v>164</c:v>
                </c:pt>
                <c:pt idx="166">
                  <c:v>165</c:v>
                </c:pt>
                <c:pt idx="167">
                  <c:v>166</c:v>
                </c:pt>
                <c:pt idx="168">
                  <c:v>167</c:v>
                </c:pt>
                <c:pt idx="169">
                  <c:v>168</c:v>
                </c:pt>
                <c:pt idx="170">
                  <c:v>169</c:v>
                </c:pt>
                <c:pt idx="171">
                  <c:v>170</c:v>
                </c:pt>
                <c:pt idx="172">
                  <c:v>171</c:v>
                </c:pt>
                <c:pt idx="173">
                  <c:v>172</c:v>
                </c:pt>
                <c:pt idx="174">
                  <c:v>173</c:v>
                </c:pt>
                <c:pt idx="175">
                  <c:v>174</c:v>
                </c:pt>
                <c:pt idx="176">
                  <c:v>175</c:v>
                </c:pt>
                <c:pt idx="177">
                  <c:v>176</c:v>
                </c:pt>
                <c:pt idx="178">
                  <c:v>177</c:v>
                </c:pt>
                <c:pt idx="179">
                  <c:v>178</c:v>
                </c:pt>
                <c:pt idx="180">
                  <c:v>179</c:v>
                </c:pt>
                <c:pt idx="181">
                  <c:v>180</c:v>
                </c:pt>
                <c:pt idx="182">
                  <c:v>181</c:v>
                </c:pt>
                <c:pt idx="183">
                  <c:v>182</c:v>
                </c:pt>
                <c:pt idx="184">
                  <c:v>183</c:v>
                </c:pt>
                <c:pt idx="185">
                  <c:v>184</c:v>
                </c:pt>
                <c:pt idx="186">
                  <c:v>185</c:v>
                </c:pt>
                <c:pt idx="187">
                  <c:v>186</c:v>
                </c:pt>
                <c:pt idx="188">
                  <c:v>187</c:v>
                </c:pt>
                <c:pt idx="189">
                  <c:v>188</c:v>
                </c:pt>
                <c:pt idx="190">
                  <c:v>189</c:v>
                </c:pt>
                <c:pt idx="191">
                  <c:v>190</c:v>
                </c:pt>
                <c:pt idx="192">
                  <c:v>191</c:v>
                </c:pt>
                <c:pt idx="193">
                  <c:v>192</c:v>
                </c:pt>
                <c:pt idx="194">
                  <c:v>193</c:v>
                </c:pt>
                <c:pt idx="195">
                  <c:v>194</c:v>
                </c:pt>
                <c:pt idx="196">
                  <c:v>195</c:v>
                </c:pt>
                <c:pt idx="197">
                  <c:v>196</c:v>
                </c:pt>
                <c:pt idx="198">
                  <c:v>197</c:v>
                </c:pt>
                <c:pt idx="199">
                  <c:v>198</c:v>
                </c:pt>
                <c:pt idx="200">
                  <c:v>199</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numCache>
            </c:numRef>
          </c:cat>
          <c:val>
            <c:numRef>
              <c:f>'Semana 4'!$AC$2:$AC$258</c:f>
              <c:numCache>
                <c:formatCode>General</c:formatCode>
                <c:ptCount val="257"/>
                <c:pt idx="0">
                  <c:v>0.64814814814814814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0.35185185185185186</c:v>
                </c:pt>
              </c:numCache>
            </c:numRef>
          </c:val>
          <c:extLst>
            <c:ext xmlns:c16="http://schemas.microsoft.com/office/drawing/2014/chart" uri="{C3380CC4-5D6E-409C-BE32-E72D297353CC}">
              <c16:uniqueId val="{00000000-9E74-41DF-BC6B-6EC9A95DC3B5}"/>
            </c:ext>
          </c:extLst>
        </c:ser>
        <c:dLbls>
          <c:showLegendKey val="0"/>
          <c:showVal val="0"/>
          <c:showCatName val="0"/>
          <c:showSerName val="0"/>
          <c:showPercent val="0"/>
          <c:showBubbleSize val="0"/>
        </c:dLbls>
        <c:gapWidth val="100"/>
        <c:overlap val="-24"/>
        <c:axId val="1983430272"/>
        <c:axId val="1983432672"/>
      </c:barChart>
      <c:catAx>
        <c:axId val="198343027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s-CL" cap="none" baseline="0"/>
                  <a:t>Escala de grises</a:t>
                </a:r>
              </a:p>
            </c:rich>
          </c:tx>
          <c:layout>
            <c:manualLayout>
              <c:xMode val="edge"/>
              <c:yMode val="edge"/>
              <c:x val="0.4576793525809274"/>
              <c:y val="0.898217410323709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1983432672"/>
        <c:crosses val="autoZero"/>
        <c:auto val="1"/>
        <c:lblAlgn val="ctr"/>
        <c:lblOffset val="100"/>
        <c:noMultiLvlLbl val="0"/>
      </c:catAx>
      <c:valAx>
        <c:axId val="1983432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ln>
                      <a:noFill/>
                    </a:ln>
                    <a:solidFill>
                      <a:sysClr val="windowText" lastClr="000000">
                        <a:lumMod val="50000"/>
                        <a:lumOff val="50000"/>
                      </a:sysClr>
                    </a:solidFill>
                    <a:latin typeface="+mn-lt"/>
                    <a:ea typeface="+mn-ea"/>
                    <a:cs typeface="+mn-cs"/>
                  </a:defRPr>
                </a:pPr>
                <a:r>
                  <a:rPr lang="es-CL" cap="none" baseline="0">
                    <a:ln>
                      <a:noFill/>
                    </a:ln>
                    <a:solidFill>
                      <a:sysClr val="windowText" lastClr="000000">
                        <a:lumMod val="50000"/>
                        <a:lumOff val="50000"/>
                      </a:sysClr>
                    </a:solidFill>
                  </a:rPr>
                  <a:t>Proporción</a:t>
                </a:r>
              </a:p>
            </c:rich>
          </c:tx>
          <c:overlay val="0"/>
          <c:spPr>
            <a:noFill/>
            <a:ln>
              <a:noFill/>
            </a:ln>
            <a:effectLst/>
          </c:spPr>
          <c:txPr>
            <a:bodyPr rot="-5400000" spcFirstLastPara="1" vertOverflow="ellipsis" vert="horz" wrap="square" anchor="ctr" anchorCtr="1"/>
            <a:lstStyle/>
            <a:p>
              <a:pPr>
                <a:defRPr sz="900" b="0" i="0" u="none" strike="noStrike" kern="1200" cap="all" baseline="0">
                  <a:ln>
                    <a:noFill/>
                  </a:ln>
                  <a:solidFill>
                    <a:sysClr val="windowText" lastClr="000000">
                      <a:lumMod val="50000"/>
                      <a:lumOff val="50000"/>
                    </a:sys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1983430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s-CL"/>
              <a:t>Histograma Canal Blue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CL"/>
        </a:p>
      </c:txPr>
    </c:title>
    <c:autoTitleDeleted val="0"/>
    <c:plotArea>
      <c:layout/>
      <c:barChart>
        <c:barDir val="col"/>
        <c:grouping val="clustered"/>
        <c:varyColors val="0"/>
        <c:ser>
          <c:idx val="0"/>
          <c:order val="0"/>
          <c:tx>
            <c:strRef>
              <c:f>'Semana 4'!$AD$1</c:f>
              <c:strCache>
                <c:ptCount val="1"/>
                <c:pt idx="0">
                  <c:v>Prop_B</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numRef>
              <c:f>'Semana 4'!$AA$2:$AA$258</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4">
                  <c:v>23</c:v>
                </c:pt>
                <c:pt idx="25">
                  <c:v>24</c:v>
                </c:pt>
                <c:pt idx="26">
                  <c:v>25</c:v>
                </c:pt>
                <c:pt idx="27">
                  <c:v>26</c:v>
                </c:pt>
                <c:pt idx="28">
                  <c:v>27</c:v>
                </c:pt>
                <c:pt idx="29">
                  <c:v>28</c:v>
                </c:pt>
                <c:pt idx="30">
                  <c:v>29</c:v>
                </c:pt>
                <c:pt idx="31">
                  <c:v>30</c:v>
                </c:pt>
                <c:pt idx="32">
                  <c:v>31</c:v>
                </c:pt>
                <c:pt idx="33">
                  <c:v>32</c:v>
                </c:pt>
                <c:pt idx="34">
                  <c:v>33</c:v>
                </c:pt>
                <c:pt idx="35">
                  <c:v>34</c:v>
                </c:pt>
                <c:pt idx="36">
                  <c:v>35</c:v>
                </c:pt>
                <c:pt idx="37">
                  <c:v>36</c:v>
                </c:pt>
                <c:pt idx="38">
                  <c:v>37</c:v>
                </c:pt>
                <c:pt idx="39">
                  <c:v>38</c:v>
                </c:pt>
                <c:pt idx="40">
                  <c:v>39</c:v>
                </c:pt>
                <c:pt idx="41">
                  <c:v>40</c:v>
                </c:pt>
                <c:pt idx="42">
                  <c:v>41</c:v>
                </c:pt>
                <c:pt idx="43">
                  <c:v>42</c:v>
                </c:pt>
                <c:pt idx="44">
                  <c:v>43</c:v>
                </c:pt>
                <c:pt idx="45">
                  <c:v>44</c:v>
                </c:pt>
                <c:pt idx="46">
                  <c:v>45</c:v>
                </c:pt>
                <c:pt idx="47">
                  <c:v>46</c:v>
                </c:pt>
                <c:pt idx="48">
                  <c:v>47</c:v>
                </c:pt>
                <c:pt idx="49">
                  <c:v>48</c:v>
                </c:pt>
                <c:pt idx="50">
                  <c:v>49</c:v>
                </c:pt>
                <c:pt idx="51">
                  <c:v>50</c:v>
                </c:pt>
                <c:pt idx="52">
                  <c:v>51</c:v>
                </c:pt>
                <c:pt idx="53">
                  <c:v>52</c:v>
                </c:pt>
                <c:pt idx="54">
                  <c:v>53</c:v>
                </c:pt>
                <c:pt idx="55">
                  <c:v>54</c:v>
                </c:pt>
                <c:pt idx="56">
                  <c:v>55</c:v>
                </c:pt>
                <c:pt idx="57">
                  <c:v>56</c:v>
                </c:pt>
                <c:pt idx="58">
                  <c:v>57</c:v>
                </c:pt>
                <c:pt idx="59">
                  <c:v>58</c:v>
                </c:pt>
                <c:pt idx="60">
                  <c:v>59</c:v>
                </c:pt>
                <c:pt idx="61">
                  <c:v>60</c:v>
                </c:pt>
                <c:pt idx="62">
                  <c:v>61</c:v>
                </c:pt>
                <c:pt idx="63">
                  <c:v>62</c:v>
                </c:pt>
                <c:pt idx="64">
                  <c:v>63</c:v>
                </c:pt>
                <c:pt idx="65">
                  <c:v>64</c:v>
                </c:pt>
                <c:pt idx="66">
                  <c:v>65</c:v>
                </c:pt>
                <c:pt idx="67">
                  <c:v>66</c:v>
                </c:pt>
                <c:pt idx="68">
                  <c:v>67</c:v>
                </c:pt>
                <c:pt idx="69">
                  <c:v>68</c:v>
                </c:pt>
                <c:pt idx="70">
                  <c:v>69</c:v>
                </c:pt>
                <c:pt idx="71">
                  <c:v>70</c:v>
                </c:pt>
                <c:pt idx="72">
                  <c:v>71</c:v>
                </c:pt>
                <c:pt idx="73">
                  <c:v>72</c:v>
                </c:pt>
                <c:pt idx="74">
                  <c:v>73</c:v>
                </c:pt>
                <c:pt idx="75">
                  <c:v>74</c:v>
                </c:pt>
                <c:pt idx="76">
                  <c:v>75</c:v>
                </c:pt>
                <c:pt idx="77">
                  <c:v>76</c:v>
                </c:pt>
                <c:pt idx="78">
                  <c:v>77</c:v>
                </c:pt>
                <c:pt idx="79">
                  <c:v>78</c:v>
                </c:pt>
                <c:pt idx="80">
                  <c:v>79</c:v>
                </c:pt>
                <c:pt idx="81">
                  <c:v>80</c:v>
                </c:pt>
                <c:pt idx="82">
                  <c:v>81</c:v>
                </c:pt>
                <c:pt idx="83">
                  <c:v>82</c:v>
                </c:pt>
                <c:pt idx="84">
                  <c:v>83</c:v>
                </c:pt>
                <c:pt idx="85">
                  <c:v>84</c:v>
                </c:pt>
                <c:pt idx="86">
                  <c:v>85</c:v>
                </c:pt>
                <c:pt idx="87">
                  <c:v>86</c:v>
                </c:pt>
                <c:pt idx="88">
                  <c:v>87</c:v>
                </c:pt>
                <c:pt idx="89">
                  <c:v>88</c:v>
                </c:pt>
                <c:pt idx="90">
                  <c:v>89</c:v>
                </c:pt>
                <c:pt idx="91">
                  <c:v>90</c:v>
                </c:pt>
                <c:pt idx="92">
                  <c:v>91</c:v>
                </c:pt>
                <c:pt idx="93">
                  <c:v>92</c:v>
                </c:pt>
                <c:pt idx="94">
                  <c:v>93</c:v>
                </c:pt>
                <c:pt idx="95">
                  <c:v>94</c:v>
                </c:pt>
                <c:pt idx="96">
                  <c:v>95</c:v>
                </c:pt>
                <c:pt idx="97">
                  <c:v>96</c:v>
                </c:pt>
                <c:pt idx="98">
                  <c:v>97</c:v>
                </c:pt>
                <c:pt idx="99">
                  <c:v>98</c:v>
                </c:pt>
                <c:pt idx="100">
                  <c:v>99</c:v>
                </c:pt>
                <c:pt idx="101">
                  <c:v>100</c:v>
                </c:pt>
                <c:pt idx="102">
                  <c:v>101</c:v>
                </c:pt>
                <c:pt idx="103">
                  <c:v>102</c:v>
                </c:pt>
                <c:pt idx="104">
                  <c:v>103</c:v>
                </c:pt>
                <c:pt idx="105">
                  <c:v>104</c:v>
                </c:pt>
                <c:pt idx="106">
                  <c:v>105</c:v>
                </c:pt>
                <c:pt idx="107">
                  <c:v>106</c:v>
                </c:pt>
                <c:pt idx="108">
                  <c:v>107</c:v>
                </c:pt>
                <c:pt idx="109">
                  <c:v>108</c:v>
                </c:pt>
                <c:pt idx="110">
                  <c:v>109</c:v>
                </c:pt>
                <c:pt idx="111">
                  <c:v>110</c:v>
                </c:pt>
                <c:pt idx="112">
                  <c:v>111</c:v>
                </c:pt>
                <c:pt idx="113">
                  <c:v>112</c:v>
                </c:pt>
                <c:pt idx="114">
                  <c:v>113</c:v>
                </c:pt>
                <c:pt idx="115">
                  <c:v>114</c:v>
                </c:pt>
                <c:pt idx="116">
                  <c:v>115</c:v>
                </c:pt>
                <c:pt idx="117">
                  <c:v>116</c:v>
                </c:pt>
                <c:pt idx="118">
                  <c:v>117</c:v>
                </c:pt>
                <c:pt idx="119">
                  <c:v>118</c:v>
                </c:pt>
                <c:pt idx="120">
                  <c:v>119</c:v>
                </c:pt>
                <c:pt idx="121">
                  <c:v>120</c:v>
                </c:pt>
                <c:pt idx="122">
                  <c:v>121</c:v>
                </c:pt>
                <c:pt idx="123">
                  <c:v>122</c:v>
                </c:pt>
                <c:pt idx="124">
                  <c:v>123</c:v>
                </c:pt>
                <c:pt idx="125">
                  <c:v>124</c:v>
                </c:pt>
                <c:pt idx="126">
                  <c:v>125</c:v>
                </c:pt>
                <c:pt idx="127">
                  <c:v>126</c:v>
                </c:pt>
                <c:pt idx="128">
                  <c:v>127</c:v>
                </c:pt>
                <c:pt idx="129">
                  <c:v>128</c:v>
                </c:pt>
                <c:pt idx="130">
                  <c:v>129</c:v>
                </c:pt>
                <c:pt idx="131">
                  <c:v>130</c:v>
                </c:pt>
                <c:pt idx="132">
                  <c:v>131</c:v>
                </c:pt>
                <c:pt idx="133">
                  <c:v>132</c:v>
                </c:pt>
                <c:pt idx="134">
                  <c:v>133</c:v>
                </c:pt>
                <c:pt idx="135">
                  <c:v>134</c:v>
                </c:pt>
                <c:pt idx="136">
                  <c:v>135</c:v>
                </c:pt>
                <c:pt idx="137">
                  <c:v>136</c:v>
                </c:pt>
                <c:pt idx="138">
                  <c:v>137</c:v>
                </c:pt>
                <c:pt idx="139">
                  <c:v>138</c:v>
                </c:pt>
                <c:pt idx="140">
                  <c:v>139</c:v>
                </c:pt>
                <c:pt idx="141">
                  <c:v>140</c:v>
                </c:pt>
                <c:pt idx="142">
                  <c:v>141</c:v>
                </c:pt>
                <c:pt idx="143">
                  <c:v>142</c:v>
                </c:pt>
                <c:pt idx="144">
                  <c:v>143</c:v>
                </c:pt>
                <c:pt idx="145">
                  <c:v>144</c:v>
                </c:pt>
                <c:pt idx="146">
                  <c:v>145</c:v>
                </c:pt>
                <c:pt idx="147">
                  <c:v>146</c:v>
                </c:pt>
                <c:pt idx="148">
                  <c:v>147</c:v>
                </c:pt>
                <c:pt idx="149">
                  <c:v>148</c:v>
                </c:pt>
                <c:pt idx="150">
                  <c:v>149</c:v>
                </c:pt>
                <c:pt idx="151">
                  <c:v>150</c:v>
                </c:pt>
                <c:pt idx="152">
                  <c:v>151</c:v>
                </c:pt>
                <c:pt idx="153">
                  <c:v>152</c:v>
                </c:pt>
                <c:pt idx="154">
                  <c:v>153</c:v>
                </c:pt>
                <c:pt idx="155">
                  <c:v>154</c:v>
                </c:pt>
                <c:pt idx="156">
                  <c:v>155</c:v>
                </c:pt>
                <c:pt idx="157">
                  <c:v>156</c:v>
                </c:pt>
                <c:pt idx="158">
                  <c:v>157</c:v>
                </c:pt>
                <c:pt idx="159">
                  <c:v>158</c:v>
                </c:pt>
                <c:pt idx="160">
                  <c:v>159</c:v>
                </c:pt>
                <c:pt idx="161">
                  <c:v>160</c:v>
                </c:pt>
                <c:pt idx="162">
                  <c:v>161</c:v>
                </c:pt>
                <c:pt idx="163">
                  <c:v>162</c:v>
                </c:pt>
                <c:pt idx="164">
                  <c:v>163</c:v>
                </c:pt>
                <c:pt idx="165">
                  <c:v>164</c:v>
                </c:pt>
                <c:pt idx="166">
                  <c:v>165</c:v>
                </c:pt>
                <c:pt idx="167">
                  <c:v>166</c:v>
                </c:pt>
                <c:pt idx="168">
                  <c:v>167</c:v>
                </c:pt>
                <c:pt idx="169">
                  <c:v>168</c:v>
                </c:pt>
                <c:pt idx="170">
                  <c:v>169</c:v>
                </c:pt>
                <c:pt idx="171">
                  <c:v>170</c:v>
                </c:pt>
                <c:pt idx="172">
                  <c:v>171</c:v>
                </c:pt>
                <c:pt idx="173">
                  <c:v>172</c:v>
                </c:pt>
                <c:pt idx="174">
                  <c:v>173</c:v>
                </c:pt>
                <c:pt idx="175">
                  <c:v>174</c:v>
                </c:pt>
                <c:pt idx="176">
                  <c:v>175</c:v>
                </c:pt>
                <c:pt idx="177">
                  <c:v>176</c:v>
                </c:pt>
                <c:pt idx="178">
                  <c:v>177</c:v>
                </c:pt>
                <c:pt idx="179">
                  <c:v>178</c:v>
                </c:pt>
                <c:pt idx="180">
                  <c:v>179</c:v>
                </c:pt>
                <c:pt idx="181">
                  <c:v>180</c:v>
                </c:pt>
                <c:pt idx="182">
                  <c:v>181</c:v>
                </c:pt>
                <c:pt idx="183">
                  <c:v>182</c:v>
                </c:pt>
                <c:pt idx="184">
                  <c:v>183</c:v>
                </c:pt>
                <c:pt idx="185">
                  <c:v>184</c:v>
                </c:pt>
                <c:pt idx="186">
                  <c:v>185</c:v>
                </c:pt>
                <c:pt idx="187">
                  <c:v>186</c:v>
                </c:pt>
                <c:pt idx="188">
                  <c:v>187</c:v>
                </c:pt>
                <c:pt idx="189">
                  <c:v>188</c:v>
                </c:pt>
                <c:pt idx="190">
                  <c:v>189</c:v>
                </c:pt>
                <c:pt idx="191">
                  <c:v>190</c:v>
                </c:pt>
                <c:pt idx="192">
                  <c:v>191</c:v>
                </c:pt>
                <c:pt idx="193">
                  <c:v>192</c:v>
                </c:pt>
                <c:pt idx="194">
                  <c:v>193</c:v>
                </c:pt>
                <c:pt idx="195">
                  <c:v>194</c:v>
                </c:pt>
                <c:pt idx="196">
                  <c:v>195</c:v>
                </c:pt>
                <c:pt idx="197">
                  <c:v>196</c:v>
                </c:pt>
                <c:pt idx="198">
                  <c:v>197</c:v>
                </c:pt>
                <c:pt idx="199">
                  <c:v>198</c:v>
                </c:pt>
                <c:pt idx="200">
                  <c:v>199</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numCache>
            </c:numRef>
          </c:cat>
          <c:val>
            <c:numRef>
              <c:f>'Semana 4'!$AD$2:$AD$258</c:f>
              <c:numCache>
                <c:formatCode>General</c:formatCode>
                <c:ptCount val="257"/>
                <c:pt idx="0">
                  <c:v>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0.5</c:v>
                </c:pt>
              </c:numCache>
            </c:numRef>
          </c:val>
          <c:extLst>
            <c:ext xmlns:c16="http://schemas.microsoft.com/office/drawing/2014/chart" uri="{C3380CC4-5D6E-409C-BE32-E72D297353CC}">
              <c16:uniqueId val="{00000000-31F4-4C63-93DF-876590D0B2FC}"/>
            </c:ext>
          </c:extLst>
        </c:ser>
        <c:dLbls>
          <c:showLegendKey val="0"/>
          <c:showVal val="0"/>
          <c:showCatName val="0"/>
          <c:showSerName val="0"/>
          <c:showPercent val="0"/>
          <c:showBubbleSize val="0"/>
        </c:dLbls>
        <c:gapWidth val="100"/>
        <c:overlap val="-24"/>
        <c:axId val="1983430272"/>
        <c:axId val="1983432672"/>
      </c:barChart>
      <c:catAx>
        <c:axId val="198343027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r>
                  <a:rPr lang="es-CL" cap="none" baseline="0"/>
                  <a:t>Escala de grises</a:t>
                </a:r>
              </a:p>
            </c:rich>
          </c:tx>
          <c:layout>
            <c:manualLayout>
              <c:xMode val="edge"/>
              <c:yMode val="edge"/>
              <c:x val="0.4576793525809274"/>
              <c:y val="0.8982174103237095"/>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50000"/>
                      <a:lumOff val="50000"/>
                    </a:schemeClr>
                  </a:solidFill>
                  <a:latin typeface="+mn-lt"/>
                  <a:ea typeface="+mn-ea"/>
                  <a:cs typeface="+mn-cs"/>
                </a:defRPr>
              </a:pPr>
              <a:endParaRPr lang="es-CL"/>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1983432672"/>
        <c:crosses val="autoZero"/>
        <c:auto val="1"/>
        <c:lblAlgn val="ctr"/>
        <c:lblOffset val="100"/>
        <c:noMultiLvlLbl val="0"/>
      </c:catAx>
      <c:valAx>
        <c:axId val="1983432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ln>
                      <a:noFill/>
                    </a:ln>
                    <a:solidFill>
                      <a:sysClr val="windowText" lastClr="000000">
                        <a:lumMod val="50000"/>
                        <a:lumOff val="50000"/>
                      </a:sysClr>
                    </a:solidFill>
                    <a:latin typeface="+mn-lt"/>
                    <a:ea typeface="+mn-ea"/>
                    <a:cs typeface="+mn-cs"/>
                  </a:defRPr>
                </a:pPr>
                <a:r>
                  <a:rPr lang="es-CL" cap="none" baseline="0">
                    <a:ln>
                      <a:noFill/>
                    </a:ln>
                    <a:solidFill>
                      <a:sysClr val="windowText" lastClr="000000">
                        <a:lumMod val="50000"/>
                        <a:lumOff val="50000"/>
                      </a:sysClr>
                    </a:solidFill>
                  </a:rPr>
                  <a:t>Proporción</a:t>
                </a:r>
              </a:p>
            </c:rich>
          </c:tx>
          <c:overlay val="0"/>
          <c:spPr>
            <a:noFill/>
            <a:ln>
              <a:noFill/>
            </a:ln>
            <a:effectLst/>
          </c:spPr>
          <c:txPr>
            <a:bodyPr rot="-5400000" spcFirstLastPara="1" vertOverflow="ellipsis" vert="horz" wrap="square" anchor="ctr" anchorCtr="1"/>
            <a:lstStyle/>
            <a:p>
              <a:pPr>
                <a:defRPr sz="900" b="0" i="0" u="none" strike="noStrike" kern="1200" cap="all" baseline="0">
                  <a:ln>
                    <a:noFill/>
                  </a:ln>
                  <a:solidFill>
                    <a:sysClr val="windowText" lastClr="000000">
                      <a:lumMod val="50000"/>
                      <a:lumOff val="50000"/>
                    </a:sysClr>
                  </a:solidFill>
                  <a:latin typeface="+mn-lt"/>
                  <a:ea typeface="+mn-ea"/>
                  <a:cs typeface="+mn-cs"/>
                </a:defRPr>
              </a:pPr>
              <a:endParaRPr lang="es-CL"/>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L"/>
          </a:p>
        </c:txPr>
        <c:crossAx val="1983430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Reversed" id="23">
  <a:schemeClr val="accent3"/>
</cs:colorStyle>
</file>

<file path=xl/charts/colors11.xml><?xml version="1.0" encoding="utf-8"?>
<cs:colorStyle xmlns:cs="http://schemas.microsoft.com/office/drawing/2012/chartStyle" xmlns:a="http://schemas.openxmlformats.org/drawingml/2006/main" meth="withinLinearReversed" id="23">
  <a:schemeClr val="accent3"/>
</cs:colorStyle>
</file>

<file path=xl/charts/colors12.xml><?xml version="1.0" encoding="utf-8"?>
<cs:colorStyle xmlns:cs="http://schemas.microsoft.com/office/drawing/2012/chartStyle" xmlns:a="http://schemas.openxmlformats.org/drawingml/2006/main" meth="withinLinearReversed" id="23">
  <a:schemeClr val="accent3"/>
</cs:colorStyle>
</file>

<file path=xl/charts/colors13.xml><?xml version="1.0" encoding="utf-8"?>
<cs:colorStyle xmlns:cs="http://schemas.microsoft.com/office/drawing/2012/chartStyle" xmlns:a="http://schemas.openxmlformats.org/drawingml/2006/main" meth="withinLinearReversed" id="23">
  <a:schemeClr val="accent3"/>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1</xdr:col>
      <xdr:colOff>5321</xdr:colOff>
      <xdr:row>1</xdr:row>
      <xdr:rowOff>0</xdr:rowOff>
    </xdr:from>
    <xdr:to>
      <xdr:col>7</xdr:col>
      <xdr:colOff>255313</xdr:colOff>
      <xdr:row>16</xdr:row>
      <xdr:rowOff>15586</xdr:rowOff>
    </xdr:to>
    <xdr:graphicFrame macro="">
      <xdr:nvGraphicFramePr>
        <xdr:cNvPr id="70" name="Gráfico 69">
          <a:extLst>
            <a:ext uri="{FF2B5EF4-FFF2-40B4-BE49-F238E27FC236}">
              <a16:creationId xmlns:a16="http://schemas.microsoft.com/office/drawing/2014/main" id="{81290F73-72E2-4C17-A4FC-A09B5459A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19</xdr:row>
      <xdr:rowOff>0</xdr:rowOff>
    </xdr:from>
    <xdr:to>
      <xdr:col>6</xdr:col>
      <xdr:colOff>251170</xdr:colOff>
      <xdr:row>34</xdr:row>
      <xdr:rowOff>22345</xdr:rowOff>
    </xdr:to>
    <xdr:graphicFrame macro="">
      <xdr:nvGraphicFramePr>
        <xdr:cNvPr id="71" name="Gráfico 70">
          <a:extLst>
            <a:ext uri="{FF2B5EF4-FFF2-40B4-BE49-F238E27FC236}">
              <a16:creationId xmlns:a16="http://schemas.microsoft.com/office/drawing/2014/main" id="{8B96E6EB-EC6D-4EA5-8D50-608B26BBE9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250947</xdr:colOff>
      <xdr:row>19</xdr:row>
      <xdr:rowOff>962</xdr:rowOff>
    </xdr:from>
    <xdr:to>
      <xdr:col>11</xdr:col>
      <xdr:colOff>406539</xdr:colOff>
      <xdr:row>34</xdr:row>
      <xdr:rowOff>20661</xdr:rowOff>
    </xdr:to>
    <xdr:graphicFrame macro="">
      <xdr:nvGraphicFramePr>
        <xdr:cNvPr id="72" name="Gráfico 71">
          <a:extLst>
            <a:ext uri="{FF2B5EF4-FFF2-40B4-BE49-F238E27FC236}">
              <a16:creationId xmlns:a16="http://schemas.microsoft.com/office/drawing/2014/main" id="{3712995D-FFE8-41BC-97A1-83523B3E23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1881</xdr:colOff>
      <xdr:row>34</xdr:row>
      <xdr:rowOff>22090</xdr:rowOff>
    </xdr:from>
    <xdr:to>
      <xdr:col>6</xdr:col>
      <xdr:colOff>255121</xdr:colOff>
      <xdr:row>49</xdr:row>
      <xdr:rowOff>37674</xdr:rowOff>
    </xdr:to>
    <xdr:graphicFrame macro="">
      <xdr:nvGraphicFramePr>
        <xdr:cNvPr id="73" name="Gráfico 72">
          <a:extLst>
            <a:ext uri="{FF2B5EF4-FFF2-40B4-BE49-F238E27FC236}">
              <a16:creationId xmlns:a16="http://schemas.microsoft.com/office/drawing/2014/main" id="{BC2A86FE-8030-41F9-B963-131669F541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249694</xdr:colOff>
      <xdr:row>34</xdr:row>
      <xdr:rowOff>20165</xdr:rowOff>
    </xdr:from>
    <xdr:to>
      <xdr:col>11</xdr:col>
      <xdr:colOff>405286</xdr:colOff>
      <xdr:row>49</xdr:row>
      <xdr:rowOff>35750</xdr:rowOff>
    </xdr:to>
    <xdr:graphicFrame macro="">
      <xdr:nvGraphicFramePr>
        <xdr:cNvPr id="74" name="Gráfico 73">
          <a:extLst>
            <a:ext uri="{FF2B5EF4-FFF2-40B4-BE49-F238E27FC236}">
              <a16:creationId xmlns:a16="http://schemas.microsoft.com/office/drawing/2014/main" id="{491F64ED-C39F-4384-AB60-6FE3228AD1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85</xdr:row>
      <xdr:rowOff>0</xdr:rowOff>
    </xdr:from>
    <xdr:to>
      <xdr:col>6</xdr:col>
      <xdr:colOff>511342</xdr:colOff>
      <xdr:row>100</xdr:row>
      <xdr:rowOff>9940</xdr:rowOff>
    </xdr:to>
    <xdr:graphicFrame macro="">
      <xdr:nvGraphicFramePr>
        <xdr:cNvPr id="84" name="Gráfico 83">
          <a:extLst>
            <a:ext uri="{FF2B5EF4-FFF2-40B4-BE49-F238E27FC236}">
              <a16:creationId xmlns:a16="http://schemas.microsoft.com/office/drawing/2014/main" id="{3D1E1392-C2D1-463F-8D2F-328717947C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511342</xdr:colOff>
      <xdr:row>85</xdr:row>
      <xdr:rowOff>0</xdr:rowOff>
    </xdr:from>
    <xdr:to>
      <xdr:col>12</xdr:col>
      <xdr:colOff>210552</xdr:colOff>
      <xdr:row>100</xdr:row>
      <xdr:rowOff>9940</xdr:rowOff>
    </xdr:to>
    <xdr:graphicFrame macro="">
      <xdr:nvGraphicFramePr>
        <xdr:cNvPr id="85" name="Gráfico 84">
          <a:extLst>
            <a:ext uri="{FF2B5EF4-FFF2-40B4-BE49-F238E27FC236}">
              <a16:creationId xmlns:a16="http://schemas.microsoft.com/office/drawing/2014/main" id="{1E89B244-47D5-4E0A-B096-317880E19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100</xdr:row>
      <xdr:rowOff>0</xdr:rowOff>
    </xdr:from>
    <xdr:to>
      <xdr:col>6</xdr:col>
      <xdr:colOff>511342</xdr:colOff>
      <xdr:row>115</xdr:row>
      <xdr:rowOff>9939</xdr:rowOff>
    </xdr:to>
    <xdr:graphicFrame macro="">
      <xdr:nvGraphicFramePr>
        <xdr:cNvPr id="86" name="Gráfico 85">
          <a:extLst>
            <a:ext uri="{FF2B5EF4-FFF2-40B4-BE49-F238E27FC236}">
              <a16:creationId xmlns:a16="http://schemas.microsoft.com/office/drawing/2014/main" id="{B90228C4-59C8-4FD8-B23A-15A4D361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511342</xdr:colOff>
      <xdr:row>100</xdr:row>
      <xdr:rowOff>0</xdr:rowOff>
    </xdr:from>
    <xdr:to>
      <xdr:col>12</xdr:col>
      <xdr:colOff>210552</xdr:colOff>
      <xdr:row>115</xdr:row>
      <xdr:rowOff>9939</xdr:rowOff>
    </xdr:to>
    <xdr:graphicFrame macro="">
      <xdr:nvGraphicFramePr>
        <xdr:cNvPr id="87" name="Gráfico 86">
          <a:extLst>
            <a:ext uri="{FF2B5EF4-FFF2-40B4-BE49-F238E27FC236}">
              <a16:creationId xmlns:a16="http://schemas.microsoft.com/office/drawing/2014/main" id="{2ECB4FFA-6409-4293-9EB0-D9E3CA8572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52</xdr:row>
      <xdr:rowOff>0</xdr:rowOff>
    </xdr:from>
    <xdr:to>
      <xdr:col>8</xdr:col>
      <xdr:colOff>713242</xdr:colOff>
      <xdr:row>66</xdr:row>
      <xdr:rowOff>171429</xdr:rowOff>
    </xdr:to>
    <xdr:graphicFrame macro="">
      <xdr:nvGraphicFramePr>
        <xdr:cNvPr id="6" name="Gráfico 5">
          <a:extLst>
            <a:ext uri="{FF2B5EF4-FFF2-40B4-BE49-F238E27FC236}">
              <a16:creationId xmlns:a16="http://schemas.microsoft.com/office/drawing/2014/main" id="{1C15EB98-9150-4427-BACB-927626DFD9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776112</xdr:colOff>
      <xdr:row>52</xdr:row>
      <xdr:rowOff>0</xdr:rowOff>
    </xdr:from>
    <xdr:to>
      <xdr:col>16</xdr:col>
      <xdr:colOff>618319</xdr:colOff>
      <xdr:row>66</xdr:row>
      <xdr:rowOff>171429</xdr:rowOff>
    </xdr:to>
    <xdr:graphicFrame macro="">
      <xdr:nvGraphicFramePr>
        <xdr:cNvPr id="7" name="Gráfico 6">
          <a:extLst>
            <a:ext uri="{FF2B5EF4-FFF2-40B4-BE49-F238E27FC236}">
              <a16:creationId xmlns:a16="http://schemas.microsoft.com/office/drawing/2014/main" id="{C41E5137-B166-49D9-8F96-326A3C11F5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67</xdr:row>
      <xdr:rowOff>0</xdr:rowOff>
    </xdr:from>
    <xdr:to>
      <xdr:col>8</xdr:col>
      <xdr:colOff>713242</xdr:colOff>
      <xdr:row>81</xdr:row>
      <xdr:rowOff>178816</xdr:rowOff>
    </xdr:to>
    <xdr:graphicFrame macro="">
      <xdr:nvGraphicFramePr>
        <xdr:cNvPr id="8" name="Gráfico 7">
          <a:extLst>
            <a:ext uri="{FF2B5EF4-FFF2-40B4-BE49-F238E27FC236}">
              <a16:creationId xmlns:a16="http://schemas.microsoft.com/office/drawing/2014/main" id="{39526FA8-B30E-4554-9044-D0192DAAAF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776112</xdr:colOff>
      <xdr:row>67</xdr:row>
      <xdr:rowOff>0</xdr:rowOff>
    </xdr:from>
    <xdr:to>
      <xdr:col>16</xdr:col>
      <xdr:colOff>618319</xdr:colOff>
      <xdr:row>81</xdr:row>
      <xdr:rowOff>178816</xdr:rowOff>
    </xdr:to>
    <xdr:graphicFrame macro="">
      <xdr:nvGraphicFramePr>
        <xdr:cNvPr id="9" name="Gráfico 8">
          <a:extLst>
            <a:ext uri="{FF2B5EF4-FFF2-40B4-BE49-F238E27FC236}">
              <a16:creationId xmlns:a16="http://schemas.microsoft.com/office/drawing/2014/main" id="{3216F5F8-A0EE-4AAA-8707-D38DF6441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13</xdr:row>
      <xdr:rowOff>0</xdr:rowOff>
    </xdr:from>
    <xdr:to>
      <xdr:col>7</xdr:col>
      <xdr:colOff>0</xdr:colOff>
      <xdr:row>28</xdr:row>
      <xdr:rowOff>36095</xdr:rowOff>
    </xdr:to>
    <xdr:graphicFrame macro="">
      <xdr:nvGraphicFramePr>
        <xdr:cNvPr id="3" name="Gráfico 2">
          <a:extLst>
            <a:ext uri="{FF2B5EF4-FFF2-40B4-BE49-F238E27FC236}">
              <a16:creationId xmlns:a16="http://schemas.microsoft.com/office/drawing/2014/main" id="{E3E83A9E-2422-46AE-8A66-50D7AADDC5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13</xdr:col>
      <xdr:colOff>2246</xdr:colOff>
      <xdr:row>23</xdr:row>
      <xdr:rowOff>44449</xdr:rowOff>
    </xdr:to>
    <xdr:graphicFrame macro="">
      <xdr:nvGraphicFramePr>
        <xdr:cNvPr id="18" name="Gráfico 17">
          <a:extLst>
            <a:ext uri="{FF2B5EF4-FFF2-40B4-BE49-F238E27FC236}">
              <a16:creationId xmlns:a16="http://schemas.microsoft.com/office/drawing/2014/main" id="{F0B05571-62F0-43D9-BC0E-77BA4AE6E9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11076</xdr:colOff>
      <xdr:row>8</xdr:row>
      <xdr:rowOff>0</xdr:rowOff>
    </xdr:from>
    <xdr:to>
      <xdr:col>19</xdr:col>
      <xdr:colOff>35473</xdr:colOff>
      <xdr:row>23</xdr:row>
      <xdr:rowOff>44449</xdr:rowOff>
    </xdr:to>
    <xdr:graphicFrame macro="">
      <xdr:nvGraphicFramePr>
        <xdr:cNvPr id="19" name="Gráfico 18">
          <a:extLst>
            <a:ext uri="{FF2B5EF4-FFF2-40B4-BE49-F238E27FC236}">
              <a16:creationId xmlns:a16="http://schemas.microsoft.com/office/drawing/2014/main" id="{2E107AD7-8E88-4A71-A226-DEE405B75C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44302</xdr:colOff>
      <xdr:row>8</xdr:row>
      <xdr:rowOff>0</xdr:rowOff>
    </xdr:from>
    <xdr:to>
      <xdr:col>25</xdr:col>
      <xdr:colOff>41009</xdr:colOff>
      <xdr:row>23</xdr:row>
      <xdr:rowOff>44449</xdr:rowOff>
    </xdr:to>
    <xdr:graphicFrame macro="">
      <xdr:nvGraphicFramePr>
        <xdr:cNvPr id="20" name="Gráfico 19">
          <a:extLst>
            <a:ext uri="{FF2B5EF4-FFF2-40B4-BE49-F238E27FC236}">
              <a16:creationId xmlns:a16="http://schemas.microsoft.com/office/drawing/2014/main" id="{354535AD-9C99-4FD2-96AA-D309288D6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63D88-CF79-4679-AD65-8C97F1FACD39}">
  <sheetPr codeName="Hoja1"/>
  <dimension ref="A1:S38"/>
  <sheetViews>
    <sheetView zoomScale="105" zoomScaleNormal="193" workbookViewId="0">
      <selection activeCell="K1" sqref="K1"/>
    </sheetView>
  </sheetViews>
  <sheetFormatPr baseColWidth="10" defaultRowHeight="14.25" x14ac:dyDescent="0.45"/>
  <cols>
    <col min="1" max="1" width="4.796875" style="1" customWidth="1"/>
    <col min="2" max="7" width="6.59765625" style="1" customWidth="1"/>
    <col min="8" max="19" width="6.59765625" customWidth="1"/>
    <col min="20" max="22" width="12.265625" bestFit="1" customWidth="1"/>
  </cols>
  <sheetData>
    <row r="1" spans="1:8" x14ac:dyDescent="0.45">
      <c r="B1" s="27" t="s">
        <v>0</v>
      </c>
      <c r="C1" s="27"/>
      <c r="D1" s="27"/>
      <c r="E1" s="27"/>
      <c r="F1" s="27"/>
      <c r="G1" s="27"/>
      <c r="H1" s="27"/>
    </row>
    <row r="2" spans="1:8" x14ac:dyDescent="0.45">
      <c r="B2" s="3">
        <v>0</v>
      </c>
      <c r="C2" s="3">
        <v>0</v>
      </c>
      <c r="D2" s="3">
        <v>100</v>
      </c>
      <c r="E2" s="3">
        <v>0</v>
      </c>
      <c r="F2" s="3">
        <v>0</v>
      </c>
      <c r="G2" s="3">
        <v>0</v>
      </c>
      <c r="H2" s="3">
        <v>100</v>
      </c>
    </row>
    <row r="3" spans="1:8" x14ac:dyDescent="0.45">
      <c r="B3" s="3">
        <v>0</v>
      </c>
      <c r="C3" s="3">
        <v>0</v>
      </c>
      <c r="D3" s="3">
        <v>0</v>
      </c>
      <c r="E3" s="3">
        <v>100</v>
      </c>
      <c r="F3" s="3">
        <v>0</v>
      </c>
      <c r="G3" s="3">
        <v>100</v>
      </c>
      <c r="H3" s="3">
        <v>0</v>
      </c>
    </row>
    <row r="4" spans="1:8" x14ac:dyDescent="0.45">
      <c r="B4" s="3">
        <v>100</v>
      </c>
      <c r="C4" s="3">
        <v>0</v>
      </c>
      <c r="D4" s="3">
        <v>0</v>
      </c>
      <c r="E4" s="3">
        <v>0</v>
      </c>
      <c r="F4" s="3">
        <v>100</v>
      </c>
      <c r="G4" s="3">
        <v>0</v>
      </c>
      <c r="H4" s="3">
        <v>0</v>
      </c>
    </row>
    <row r="5" spans="1:8" x14ac:dyDescent="0.45">
      <c r="B5" s="3">
        <v>0</v>
      </c>
      <c r="C5" s="3">
        <v>100</v>
      </c>
      <c r="D5" s="3">
        <v>0</v>
      </c>
      <c r="E5" s="3">
        <v>100</v>
      </c>
      <c r="F5" s="3">
        <v>0</v>
      </c>
      <c r="G5" s="3">
        <v>100</v>
      </c>
      <c r="H5" s="3">
        <v>0</v>
      </c>
    </row>
    <row r="6" spans="1:8" x14ac:dyDescent="0.45">
      <c r="B6" s="3">
        <v>0</v>
      </c>
      <c r="C6" s="3">
        <v>0</v>
      </c>
      <c r="D6" s="3">
        <v>100</v>
      </c>
      <c r="E6" s="3">
        <v>0</v>
      </c>
      <c r="F6" s="3">
        <v>0</v>
      </c>
      <c r="G6" s="3">
        <v>0</v>
      </c>
      <c r="H6" s="3">
        <v>100</v>
      </c>
    </row>
    <row r="7" spans="1:8" x14ac:dyDescent="0.45">
      <c r="B7" s="3">
        <v>0</v>
      </c>
      <c r="C7" s="3">
        <v>100</v>
      </c>
      <c r="D7" s="3">
        <v>0</v>
      </c>
      <c r="E7" s="3">
        <v>100</v>
      </c>
      <c r="F7" s="3">
        <v>0</v>
      </c>
      <c r="G7" s="3">
        <v>0</v>
      </c>
      <c r="H7" s="3">
        <v>0</v>
      </c>
    </row>
    <row r="8" spans="1:8" x14ac:dyDescent="0.45">
      <c r="B8" s="3">
        <v>100</v>
      </c>
      <c r="C8" s="3">
        <v>0</v>
      </c>
      <c r="D8" s="3">
        <v>0</v>
      </c>
      <c r="E8" s="3">
        <v>0</v>
      </c>
      <c r="F8" s="3">
        <v>100</v>
      </c>
      <c r="G8" s="3">
        <v>0</v>
      </c>
      <c r="H8" s="3">
        <v>0</v>
      </c>
    </row>
    <row r="10" spans="1:8" x14ac:dyDescent="0.45">
      <c r="A10" s="28" t="s">
        <v>21</v>
      </c>
      <c r="B10" s="27" t="s">
        <v>2</v>
      </c>
      <c r="C10" s="27"/>
      <c r="D10" s="27"/>
      <c r="E10" s="27"/>
      <c r="F10" s="27"/>
      <c r="G10" s="9"/>
    </row>
    <row r="11" spans="1:8" x14ac:dyDescent="0.45">
      <c r="A11" s="28"/>
      <c r="B11" s="3">
        <f t="shared" ref="B11:F15" si="0">MEDIAN(B2:D4)</f>
        <v>0</v>
      </c>
      <c r="C11" s="3">
        <f t="shared" si="0"/>
        <v>0</v>
      </c>
      <c r="D11" s="3">
        <f t="shared" si="0"/>
        <v>0</v>
      </c>
      <c r="E11" s="3">
        <f t="shared" si="0"/>
        <v>0</v>
      </c>
      <c r="F11" s="3">
        <f t="shared" si="0"/>
        <v>0</v>
      </c>
      <c r="G11" s="9"/>
    </row>
    <row r="12" spans="1:8" x14ac:dyDescent="0.45">
      <c r="A12" s="28"/>
      <c r="B12" s="3">
        <f t="shared" si="0"/>
        <v>0</v>
      </c>
      <c r="C12" s="3">
        <f t="shared" si="0"/>
        <v>0</v>
      </c>
      <c r="D12" s="3">
        <f t="shared" si="0"/>
        <v>0</v>
      </c>
      <c r="E12" s="3">
        <f t="shared" si="0"/>
        <v>100</v>
      </c>
      <c r="F12" s="3">
        <f t="shared" si="0"/>
        <v>0</v>
      </c>
      <c r="G12" s="9"/>
    </row>
    <row r="13" spans="1:8" x14ac:dyDescent="0.45">
      <c r="A13" s="28"/>
      <c r="B13" s="3">
        <f t="shared" si="0"/>
        <v>0</v>
      </c>
      <c r="C13" s="3">
        <f t="shared" si="0"/>
        <v>0</v>
      </c>
      <c r="D13" s="3">
        <f t="shared" si="0"/>
        <v>0</v>
      </c>
      <c r="E13" s="3">
        <f t="shared" si="0"/>
        <v>0</v>
      </c>
      <c r="F13" s="3">
        <f t="shared" si="0"/>
        <v>0</v>
      </c>
      <c r="G13" s="9"/>
    </row>
    <row r="14" spans="1:8" x14ac:dyDescent="0.45">
      <c r="A14" s="28"/>
      <c r="B14" s="3">
        <f t="shared" si="0"/>
        <v>0</v>
      </c>
      <c r="C14" s="3">
        <f t="shared" si="0"/>
        <v>100</v>
      </c>
      <c r="D14" s="3">
        <f t="shared" si="0"/>
        <v>0</v>
      </c>
      <c r="E14" s="3">
        <f t="shared" si="0"/>
        <v>0</v>
      </c>
      <c r="F14" s="3">
        <f t="shared" si="0"/>
        <v>0</v>
      </c>
      <c r="G14" s="9"/>
    </row>
    <row r="15" spans="1:8" x14ac:dyDescent="0.45">
      <c r="A15" s="28"/>
      <c r="B15" s="3">
        <f t="shared" si="0"/>
        <v>0</v>
      </c>
      <c r="C15" s="3">
        <f t="shared" si="0"/>
        <v>0</v>
      </c>
      <c r="D15" s="3">
        <f t="shared" si="0"/>
        <v>0</v>
      </c>
      <c r="E15" s="3">
        <f t="shared" si="0"/>
        <v>0</v>
      </c>
      <c r="F15" s="3">
        <f t="shared" si="0"/>
        <v>0</v>
      </c>
      <c r="G15" s="9"/>
    </row>
    <row r="16" spans="1:8" x14ac:dyDescent="0.45">
      <c r="A16" s="9"/>
      <c r="B16" s="9"/>
      <c r="C16" s="9"/>
      <c r="D16" s="9"/>
      <c r="E16" s="9"/>
      <c r="F16" s="9"/>
      <c r="G16" s="9"/>
    </row>
    <row r="17" spans="1:19" x14ac:dyDescent="0.45">
      <c r="A17" s="28" t="s">
        <v>22</v>
      </c>
      <c r="B17" s="27" t="s">
        <v>3</v>
      </c>
      <c r="C17" s="27"/>
      <c r="D17" s="27"/>
      <c r="E17" s="27"/>
      <c r="F17" s="27"/>
      <c r="G17" s="9"/>
      <c r="O17" s="27" t="s">
        <v>6</v>
      </c>
      <c r="P17" s="27"/>
      <c r="Q17" s="27"/>
      <c r="R17" s="27"/>
      <c r="S17" s="27"/>
    </row>
    <row r="18" spans="1:19" x14ac:dyDescent="0.45">
      <c r="A18" s="28"/>
      <c r="B18" s="3">
        <f t="shared" ref="B18:F22" si="1">SUMPRODUCT(B2:D4, $H$19:$J$21)</f>
        <v>200</v>
      </c>
      <c r="C18" s="3">
        <f t="shared" si="1"/>
        <v>-400</v>
      </c>
      <c r="D18" s="3">
        <f t="shared" si="1"/>
        <v>600</v>
      </c>
      <c r="E18" s="3">
        <f t="shared" si="1"/>
        <v>-600</v>
      </c>
      <c r="F18" s="3">
        <f t="shared" si="1"/>
        <v>600</v>
      </c>
      <c r="G18" s="9"/>
      <c r="H18" s="27" t="s">
        <v>1</v>
      </c>
      <c r="I18" s="27"/>
      <c r="J18" s="27"/>
      <c r="O18" s="26">
        <f t="shared" ref="O18:S22" si="2">(B18-$L$20)/($M$20-$L$20)*255</f>
        <v>145.71428571428569</v>
      </c>
      <c r="P18" s="4">
        <f t="shared" si="2"/>
        <v>36.428571428571423</v>
      </c>
      <c r="Q18" s="4">
        <f t="shared" si="2"/>
        <v>218.57142857142856</v>
      </c>
      <c r="R18" s="26">
        <f t="shared" si="2"/>
        <v>0</v>
      </c>
      <c r="S18" s="26">
        <f t="shared" si="2"/>
        <v>218.57142857142856</v>
      </c>
    </row>
    <row r="19" spans="1:19" x14ac:dyDescent="0.45">
      <c r="A19" s="28"/>
      <c r="B19" s="3">
        <f t="shared" si="1"/>
        <v>-400</v>
      </c>
      <c r="C19" s="3">
        <f t="shared" si="1"/>
        <v>300</v>
      </c>
      <c r="D19" s="3">
        <f t="shared" si="1"/>
        <v>-600</v>
      </c>
      <c r="E19" s="3">
        <f t="shared" si="1"/>
        <v>800</v>
      </c>
      <c r="F19" s="3">
        <f t="shared" si="1"/>
        <v>-600</v>
      </c>
      <c r="G19" s="9"/>
      <c r="H19" s="3">
        <v>1</v>
      </c>
      <c r="I19" s="3">
        <v>-2</v>
      </c>
      <c r="J19" s="3">
        <v>1</v>
      </c>
      <c r="L19" s="9" t="s">
        <v>4</v>
      </c>
      <c r="M19" s="9" t="s">
        <v>5</v>
      </c>
      <c r="O19" s="4">
        <f t="shared" si="2"/>
        <v>36.428571428571423</v>
      </c>
      <c r="P19" s="4">
        <f t="shared" si="2"/>
        <v>163.92857142857144</v>
      </c>
      <c r="Q19" s="26">
        <f t="shared" si="2"/>
        <v>0</v>
      </c>
      <c r="R19" s="26">
        <f t="shared" si="2"/>
        <v>255</v>
      </c>
      <c r="S19" s="26">
        <f t="shared" si="2"/>
        <v>0</v>
      </c>
    </row>
    <row r="20" spans="1:19" x14ac:dyDescent="0.45">
      <c r="A20" s="28"/>
      <c r="B20" s="3">
        <f t="shared" si="1"/>
        <v>600</v>
      </c>
      <c r="C20" s="3">
        <f t="shared" si="1"/>
        <v>-600</v>
      </c>
      <c r="D20" s="3">
        <f t="shared" si="1"/>
        <v>600</v>
      </c>
      <c r="E20" s="3">
        <f t="shared" si="1"/>
        <v>-600</v>
      </c>
      <c r="F20" s="3">
        <f t="shared" si="1"/>
        <v>600</v>
      </c>
      <c r="G20" s="9"/>
      <c r="H20" s="3">
        <v>-2</v>
      </c>
      <c r="I20" s="3">
        <v>4</v>
      </c>
      <c r="J20" s="3">
        <v>-2</v>
      </c>
      <c r="L20" s="3">
        <f>MIN(B18:F22)</f>
        <v>-600</v>
      </c>
      <c r="M20" s="9">
        <f>MAX(B18:F22)</f>
        <v>800</v>
      </c>
      <c r="O20" s="26">
        <f t="shared" si="2"/>
        <v>218.57142857142856</v>
      </c>
      <c r="P20" s="26">
        <f t="shared" si="2"/>
        <v>0</v>
      </c>
      <c r="Q20" s="26">
        <f t="shared" si="2"/>
        <v>218.57142857142856</v>
      </c>
      <c r="R20" s="26">
        <f t="shared" si="2"/>
        <v>0</v>
      </c>
      <c r="S20" s="26">
        <f t="shared" si="2"/>
        <v>218.57142857142856</v>
      </c>
    </row>
    <row r="21" spans="1:19" x14ac:dyDescent="0.45">
      <c r="A21" s="28"/>
      <c r="B21" s="3">
        <f t="shared" si="1"/>
        <v>-600</v>
      </c>
      <c r="C21" s="3">
        <f t="shared" si="1"/>
        <v>800</v>
      </c>
      <c r="D21" s="3">
        <f t="shared" si="1"/>
        <v>-600</v>
      </c>
      <c r="E21" s="3">
        <f t="shared" si="1"/>
        <v>300</v>
      </c>
      <c r="F21" s="3">
        <f t="shared" si="1"/>
        <v>-400</v>
      </c>
      <c r="G21" s="9"/>
      <c r="H21" s="3">
        <v>1</v>
      </c>
      <c r="I21" s="3">
        <v>-2</v>
      </c>
      <c r="J21" s="3">
        <v>1</v>
      </c>
      <c r="O21" s="26">
        <f t="shared" si="2"/>
        <v>0</v>
      </c>
      <c r="P21" s="26">
        <f t="shared" si="2"/>
        <v>255</v>
      </c>
      <c r="Q21" s="26">
        <f t="shared" si="2"/>
        <v>0</v>
      </c>
      <c r="R21" s="26">
        <f t="shared" si="2"/>
        <v>163.92857142857144</v>
      </c>
      <c r="S21" s="4">
        <f t="shared" si="2"/>
        <v>36.428571428571423</v>
      </c>
    </row>
    <row r="22" spans="1:19" x14ac:dyDescent="0.45">
      <c r="A22" s="28"/>
      <c r="B22" s="3">
        <f t="shared" si="1"/>
        <v>600</v>
      </c>
      <c r="C22" s="3">
        <f t="shared" si="1"/>
        <v>-600</v>
      </c>
      <c r="D22" s="3">
        <f t="shared" si="1"/>
        <v>600</v>
      </c>
      <c r="E22" s="3">
        <f t="shared" si="1"/>
        <v>-400</v>
      </c>
      <c r="F22" s="3">
        <f t="shared" si="1"/>
        <v>200</v>
      </c>
      <c r="G22" s="9"/>
      <c r="O22" s="26">
        <f t="shared" si="2"/>
        <v>218.57142857142856</v>
      </c>
      <c r="P22" s="26">
        <f t="shared" si="2"/>
        <v>0</v>
      </c>
      <c r="Q22" s="26">
        <f t="shared" si="2"/>
        <v>218.57142857142856</v>
      </c>
      <c r="R22" s="4">
        <f t="shared" si="2"/>
        <v>36.428571428571423</v>
      </c>
      <c r="S22" s="26">
        <f t="shared" si="2"/>
        <v>145.71428571428569</v>
      </c>
    </row>
    <row r="23" spans="1:19" x14ac:dyDescent="0.45">
      <c r="C23" s="9"/>
      <c r="D23" s="9"/>
      <c r="E23" s="9"/>
      <c r="F23" s="9"/>
      <c r="G23" s="9"/>
      <c r="H23" s="9"/>
    </row>
    <row r="24" spans="1:19" x14ac:dyDescent="0.45">
      <c r="A24" s="28" t="s">
        <v>23</v>
      </c>
      <c r="B24" s="27" t="s">
        <v>7</v>
      </c>
      <c r="C24" s="27"/>
      <c r="D24" s="27"/>
      <c r="E24" s="27"/>
      <c r="F24" s="27"/>
      <c r="G24" s="9"/>
      <c r="H24" s="9"/>
    </row>
    <row r="25" spans="1:19" x14ac:dyDescent="0.45">
      <c r="A25" s="28"/>
      <c r="B25" s="3">
        <f t="shared" ref="B25:F29" si="3">IF(B18&gt;$I$27, 255, 0)</f>
        <v>0</v>
      </c>
      <c r="C25" s="3">
        <f t="shared" si="3"/>
        <v>0</v>
      </c>
      <c r="D25" s="3">
        <f t="shared" si="3"/>
        <v>0</v>
      </c>
      <c r="E25" s="3">
        <f t="shared" si="3"/>
        <v>0</v>
      </c>
      <c r="F25" s="3">
        <f t="shared" si="3"/>
        <v>0</v>
      </c>
      <c r="G25" s="9"/>
      <c r="H25" s="9"/>
      <c r="J25" s="9"/>
      <c r="K25" s="9"/>
      <c r="L25" s="9"/>
      <c r="M25" s="9"/>
      <c r="N25" s="9"/>
    </row>
    <row r="26" spans="1:19" x14ac:dyDescent="0.45">
      <c r="A26" s="28"/>
      <c r="B26" s="3">
        <f t="shared" si="3"/>
        <v>0</v>
      </c>
      <c r="C26" s="3">
        <f t="shared" si="3"/>
        <v>0</v>
      </c>
      <c r="D26" s="3">
        <f t="shared" si="3"/>
        <v>0</v>
      </c>
      <c r="E26" s="3">
        <f t="shared" si="3"/>
        <v>255</v>
      </c>
      <c r="F26" s="3">
        <f t="shared" si="3"/>
        <v>0</v>
      </c>
      <c r="G26" s="9"/>
      <c r="I26" s="9" t="s">
        <v>8</v>
      </c>
    </row>
    <row r="27" spans="1:19" x14ac:dyDescent="0.45">
      <c r="A27" s="28"/>
      <c r="B27" s="3">
        <f t="shared" si="3"/>
        <v>0</v>
      </c>
      <c r="C27" s="3">
        <f t="shared" si="3"/>
        <v>0</v>
      </c>
      <c r="D27" s="3">
        <f t="shared" si="3"/>
        <v>0</v>
      </c>
      <c r="E27" s="3">
        <f t="shared" si="3"/>
        <v>0</v>
      </c>
      <c r="F27" s="3">
        <f t="shared" si="3"/>
        <v>0</v>
      </c>
      <c r="G27" s="9"/>
      <c r="I27" s="5">
        <v>600</v>
      </c>
    </row>
    <row r="28" spans="1:19" x14ac:dyDescent="0.45">
      <c r="A28" s="28"/>
      <c r="B28" s="3">
        <f t="shared" si="3"/>
        <v>0</v>
      </c>
      <c r="C28" s="3">
        <f t="shared" si="3"/>
        <v>255</v>
      </c>
      <c r="D28" s="3">
        <f t="shared" si="3"/>
        <v>0</v>
      </c>
      <c r="E28" s="3">
        <f t="shared" si="3"/>
        <v>0</v>
      </c>
      <c r="F28" s="3">
        <f t="shared" si="3"/>
        <v>0</v>
      </c>
      <c r="G28" s="9"/>
      <c r="H28" s="9"/>
    </row>
    <row r="29" spans="1:19" x14ac:dyDescent="0.45">
      <c r="A29" s="28"/>
      <c r="B29" s="3">
        <f t="shared" si="3"/>
        <v>0</v>
      </c>
      <c r="C29" s="3">
        <f t="shared" si="3"/>
        <v>0</v>
      </c>
      <c r="D29" s="3">
        <f t="shared" si="3"/>
        <v>0</v>
      </c>
      <c r="E29" s="3">
        <f t="shared" si="3"/>
        <v>0</v>
      </c>
      <c r="F29" s="3">
        <f t="shared" si="3"/>
        <v>0</v>
      </c>
      <c r="G29" s="9"/>
      <c r="H29" s="9"/>
    </row>
    <row r="30" spans="1:19" x14ac:dyDescent="0.45">
      <c r="C30" s="9"/>
      <c r="D30" s="9"/>
      <c r="E30" s="9"/>
      <c r="F30" s="9"/>
      <c r="G30" s="9"/>
      <c r="H30" s="9"/>
    </row>
    <row r="31" spans="1:19" x14ac:dyDescent="0.45">
      <c r="C31" s="9"/>
      <c r="D31" s="9"/>
      <c r="E31" s="9"/>
      <c r="F31" s="9"/>
      <c r="G31" s="9"/>
      <c r="H31" s="9"/>
    </row>
    <row r="32" spans="1:19" x14ac:dyDescent="0.45">
      <c r="C32" s="9"/>
      <c r="D32" s="9"/>
      <c r="E32" s="9"/>
      <c r="F32" s="9"/>
      <c r="G32" s="9"/>
      <c r="H32" s="9"/>
    </row>
    <row r="33" spans="3:8" x14ac:dyDescent="0.45">
      <c r="C33" s="9"/>
      <c r="D33" s="9"/>
      <c r="E33" s="9"/>
      <c r="F33" s="9"/>
      <c r="G33" s="9"/>
      <c r="H33" s="9"/>
    </row>
    <row r="34" spans="3:8" x14ac:dyDescent="0.45">
      <c r="C34" s="9"/>
      <c r="D34" s="9"/>
      <c r="E34" s="9"/>
      <c r="F34" s="9"/>
      <c r="G34" s="9"/>
      <c r="H34" s="9"/>
    </row>
    <row r="35" spans="3:8" x14ac:dyDescent="0.45">
      <c r="C35" s="9"/>
      <c r="D35" s="9"/>
      <c r="F35" s="9"/>
      <c r="G35" s="9"/>
      <c r="H35" s="9"/>
    </row>
    <row r="36" spans="3:8" x14ac:dyDescent="0.45">
      <c r="C36" s="9"/>
      <c r="D36" s="9"/>
      <c r="F36" s="9"/>
      <c r="G36" s="9"/>
      <c r="H36" s="9"/>
    </row>
    <row r="37" spans="3:8" x14ac:dyDescent="0.45">
      <c r="C37" s="9"/>
      <c r="D37" s="9"/>
      <c r="E37" s="9"/>
      <c r="F37" s="9"/>
      <c r="G37" s="9"/>
      <c r="H37" s="9"/>
    </row>
    <row r="38" spans="3:8" x14ac:dyDescent="0.45">
      <c r="C38" s="9"/>
      <c r="D38" s="9"/>
      <c r="E38" s="9"/>
      <c r="F38" s="9"/>
      <c r="G38" s="9"/>
      <c r="H38" s="9"/>
    </row>
  </sheetData>
  <mergeCells count="9">
    <mergeCell ref="B1:H1"/>
    <mergeCell ref="H18:J18"/>
    <mergeCell ref="O17:S17"/>
    <mergeCell ref="B24:F24"/>
    <mergeCell ref="A24:A29"/>
    <mergeCell ref="B10:F10"/>
    <mergeCell ref="A10:A15"/>
    <mergeCell ref="A17:A22"/>
    <mergeCell ref="B17:F17"/>
  </mergeCells>
  <conditionalFormatting sqref="B2:H8">
    <cfRule type="expression" dxfId="24" priority="19">
      <formula>B2&gt;MEDIAN($B$2:$H$8)</formula>
    </cfRule>
    <cfRule type="colorScale" priority="20">
      <colorScale>
        <cfvo type="num" val="0"/>
        <cfvo type="percentile" val="50"/>
        <cfvo type="num" val="255"/>
        <color theme="1"/>
        <color theme="1" tint="0.499984740745262"/>
        <color theme="0"/>
      </colorScale>
    </cfRule>
  </conditionalFormatting>
  <conditionalFormatting sqref="B11:F15">
    <cfRule type="expression" dxfId="23" priority="17">
      <formula>B11&gt;MEDIAN($B$11:$F$15)</formula>
    </cfRule>
    <cfRule type="colorScale" priority="18">
      <colorScale>
        <cfvo type="num" val="0"/>
        <cfvo type="percentile" val="50"/>
        <cfvo type="num" val="255"/>
        <color theme="1"/>
        <color theme="1" tint="0.499984740745262"/>
        <color theme="0"/>
      </colorScale>
    </cfRule>
  </conditionalFormatting>
  <conditionalFormatting sqref="O18:S22">
    <cfRule type="expression" dxfId="22" priority="3">
      <formula>O18&gt;MEDIAN($O$18:$S$22)</formula>
    </cfRule>
    <cfRule type="colorScale" priority="4">
      <colorScale>
        <cfvo type="num" val="0"/>
        <cfvo type="percentile" val="50"/>
        <cfvo type="num" val="255"/>
        <color theme="1"/>
        <color theme="1" tint="0.499984740745262"/>
        <color theme="0"/>
      </colorScale>
    </cfRule>
  </conditionalFormatting>
  <conditionalFormatting sqref="B18:F22 L20">
    <cfRule type="expression" dxfId="21" priority="74">
      <formula>B18&gt;MEDIAN($B$11:$F$15)</formula>
    </cfRule>
    <cfRule type="colorScale" priority="75">
      <colorScale>
        <cfvo type="min"/>
        <cfvo type="percentile" val="50"/>
        <cfvo type="max"/>
        <color theme="1"/>
        <color theme="1" tint="0.499984740745262"/>
        <color theme="0"/>
      </colorScale>
    </cfRule>
  </conditionalFormatting>
  <conditionalFormatting sqref="H19:J21">
    <cfRule type="expression" dxfId="20" priority="80">
      <formula>H19&gt;MEDIAN(#REF!)</formula>
    </cfRule>
    <cfRule type="expression" dxfId="19" priority="81">
      <formula>H19&gt;MEDIAN($B$11:$F$15)</formula>
    </cfRule>
    <cfRule type="colorScale" priority="82">
      <colorScale>
        <cfvo type="min"/>
        <cfvo type="percentile" val="50"/>
        <cfvo type="max"/>
        <color theme="1"/>
        <color theme="1" tint="0.499984740745262"/>
        <color theme="0"/>
      </colorScale>
    </cfRule>
  </conditionalFormatting>
  <conditionalFormatting sqref="B25:F29">
    <cfRule type="expression" dxfId="18" priority="85">
      <formula>B25&gt;MEDIAN($B$11:$F$15)</formula>
    </cfRule>
    <cfRule type="colorScale" priority="86">
      <colorScale>
        <cfvo type="min"/>
        <cfvo type="percentile" val="50"/>
        <cfvo type="max"/>
        <color theme="1"/>
        <color theme="1" tint="0.499984740745262"/>
        <color theme="0"/>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FB72-230E-48D0-82DB-7960EF53BDA4}">
  <sheetPr codeName="Hoja2"/>
  <dimension ref="A1:BL257"/>
  <sheetViews>
    <sheetView topLeftCell="A94" zoomScale="55" zoomScaleNormal="59" workbookViewId="0">
      <selection activeCell="BC2" sqref="BC2"/>
    </sheetView>
  </sheetViews>
  <sheetFormatPr baseColWidth="10" defaultRowHeight="14.25" x14ac:dyDescent="0.45"/>
  <cols>
    <col min="1" max="1" width="4.59765625" style="1" customWidth="1"/>
    <col min="2" max="7" width="11.33203125" style="1" customWidth="1"/>
    <col min="8" max="18" width="11.33203125" customWidth="1"/>
    <col min="19" max="45" width="5.59765625" customWidth="1"/>
    <col min="47" max="47" width="5.9296875" style="1" bestFit="1" customWidth="1"/>
    <col min="48" max="48" width="9.33203125" style="1" bestFit="1" customWidth="1"/>
    <col min="51" max="52" width="12.265625" bestFit="1" customWidth="1"/>
    <col min="54" max="54" width="6.06640625" style="2" bestFit="1" customWidth="1"/>
    <col min="60" max="60" width="5.33203125" style="9" bestFit="1" customWidth="1"/>
    <col min="61" max="61" width="10.6640625" style="9" customWidth="1"/>
    <col min="64" max="65" width="10.6640625" customWidth="1"/>
  </cols>
  <sheetData>
    <row r="1" spans="1:64" x14ac:dyDescent="0.45">
      <c r="S1" s="27" t="s">
        <v>9</v>
      </c>
      <c r="T1" s="27"/>
      <c r="U1" s="27"/>
      <c r="V1" s="27"/>
      <c r="W1" s="27"/>
      <c r="X1" s="27"/>
      <c r="Y1" s="27"/>
      <c r="Z1" s="27"/>
      <c r="AA1" s="27"/>
      <c r="AB1" s="27"/>
      <c r="AC1" s="27"/>
      <c r="AD1" s="27"/>
      <c r="AU1" s="1" t="s">
        <v>10</v>
      </c>
      <c r="AV1" s="1" t="s">
        <v>12</v>
      </c>
      <c r="AW1" t="s">
        <v>11</v>
      </c>
      <c r="AX1" t="s">
        <v>13</v>
      </c>
      <c r="AY1" t="s">
        <v>14</v>
      </c>
      <c r="AZ1" t="s">
        <v>15</v>
      </c>
      <c r="BB1" s="2" t="s">
        <v>20</v>
      </c>
      <c r="BC1" t="s">
        <v>11</v>
      </c>
      <c r="BD1" t="s">
        <v>13</v>
      </c>
      <c r="BE1" t="s">
        <v>14</v>
      </c>
      <c r="BF1" t="s">
        <v>15</v>
      </c>
      <c r="BH1" s="9" t="s">
        <v>32</v>
      </c>
      <c r="BI1" t="s">
        <v>11</v>
      </c>
      <c r="BJ1" t="s">
        <v>13</v>
      </c>
      <c r="BK1" t="s">
        <v>14</v>
      </c>
      <c r="BL1" t="s">
        <v>15</v>
      </c>
    </row>
    <row r="2" spans="1:64" x14ac:dyDescent="0.45">
      <c r="A2" s="28" t="s">
        <v>21</v>
      </c>
      <c r="S2" s="6">
        <v>128</v>
      </c>
      <c r="T2" s="6">
        <v>128</v>
      </c>
      <c r="U2" s="6">
        <v>128</v>
      </c>
      <c r="V2" s="6">
        <v>128</v>
      </c>
      <c r="W2" s="6">
        <v>128</v>
      </c>
      <c r="X2" s="6">
        <v>128</v>
      </c>
      <c r="Y2" s="6">
        <v>0</v>
      </c>
      <c r="Z2" s="6">
        <v>0</v>
      </c>
      <c r="AA2" s="6">
        <v>0</v>
      </c>
      <c r="AB2" s="6">
        <v>0</v>
      </c>
      <c r="AC2" s="6">
        <v>0</v>
      </c>
      <c r="AD2" s="6">
        <v>255</v>
      </c>
      <c r="AU2" s="1">
        <v>0</v>
      </c>
      <c r="AV2" s="8">
        <f t="shared" ref="AV2:AV65" si="0">COUNTIF($S$2:$AD$13,  $AU2)/(12*12)</f>
        <v>0.35416666666666669</v>
      </c>
      <c r="AW2" s="8">
        <f t="shared" ref="AW2:AW65" si="1">COUNTIF($S$2:$X$7,  $AU2)/(6*6)</f>
        <v>0</v>
      </c>
      <c r="AX2" s="8">
        <f t="shared" ref="AX2:AX65" si="2">COUNTIF($Y$2:$AD$7,  $AU2)/(6*6)</f>
        <v>0.41666666666666669</v>
      </c>
      <c r="AY2" s="8">
        <f t="shared" ref="AY2:AY65" si="3">COUNTIF($S$8:$X$13,  $AU2)/(6*6)</f>
        <v>0.5</v>
      </c>
      <c r="AZ2" s="8">
        <f t="shared" ref="AZ2:AZ65" si="4">COUNTIF($Y$8:$AD$13,  $AU2)/(6*6)</f>
        <v>0.5</v>
      </c>
      <c r="BB2" s="2">
        <v>-90</v>
      </c>
      <c r="BC2" s="8">
        <f>COUNTIFS($T$71:$X$75,  "&gt;="&amp;$BB2, $T$71:$X$75,  "&lt;"&amp;($BB2+1)) / COUNT($T$71:$X$75)</f>
        <v>0.1111111111111111</v>
      </c>
      <c r="BD2" s="8">
        <f t="shared" ref="BD2:BD33" si="5">COUNTIFS($Y$71:$AC$75,  "&gt;="&amp;$BB2, $Y$71:$AC$75,  "&lt;"&amp;($BB2+1)) / COUNT($Y$71:$AC$75)</f>
        <v>0.14285714285714285</v>
      </c>
      <c r="BE2" s="8">
        <f t="shared" ref="BE2:BE33" si="6">COUNTIFS($T$76:$X$80,  "&gt;="&amp;$BB2, $T$76:$X$80,  "&lt;"&amp;($BB2+1)) / COUNT($T$76:$X$80)</f>
        <v>6.25E-2</v>
      </c>
      <c r="BF2" s="8">
        <f t="shared" ref="BF2:BF33" si="7">COUNTIFS($Y$76:$AC$80,  "&gt;="&amp;$BB2, $Y$76:$AC$80,  "&lt;"&amp;($BB2+1)) / COUNT($Y$76:$AC$80)</f>
        <v>0.25</v>
      </c>
      <c r="BH2" s="9">
        <v>1</v>
      </c>
      <c r="BI2" s="9">
        <v>0</v>
      </c>
      <c r="BJ2" s="9">
        <f>COUNTIF($Y$87:$AC$91, $BH2) / COUNT($Y$87:$AC$91)</f>
        <v>0</v>
      </c>
      <c r="BK2" s="9">
        <f>COUNTIF($T$92:$X$96, $BH2) / COUNT($T$92:$X$96)</f>
        <v>1</v>
      </c>
      <c r="BL2" s="9">
        <f>COUNTIF($Y$92:$AC$96, $BH2) / COUNT($Y$92:$AC$96)</f>
        <v>0</v>
      </c>
    </row>
    <row r="3" spans="1:64" x14ac:dyDescent="0.45">
      <c r="A3" s="28"/>
      <c r="S3" s="6">
        <v>128</v>
      </c>
      <c r="T3" s="6">
        <v>128</v>
      </c>
      <c r="U3" s="6">
        <v>128</v>
      </c>
      <c r="V3" s="6">
        <v>128</v>
      </c>
      <c r="W3" s="6">
        <v>128</v>
      </c>
      <c r="X3" s="6">
        <v>128</v>
      </c>
      <c r="Y3" s="6">
        <v>0</v>
      </c>
      <c r="Z3" s="6">
        <v>0</v>
      </c>
      <c r="AA3" s="6">
        <v>0</v>
      </c>
      <c r="AB3" s="6">
        <v>0</v>
      </c>
      <c r="AC3" s="6">
        <v>255</v>
      </c>
      <c r="AD3" s="6">
        <v>255</v>
      </c>
      <c r="AU3" s="1">
        <v>1</v>
      </c>
      <c r="AV3" s="8">
        <f t="shared" si="0"/>
        <v>0</v>
      </c>
      <c r="AW3" s="8">
        <f t="shared" si="1"/>
        <v>0</v>
      </c>
      <c r="AX3" s="8">
        <f t="shared" si="2"/>
        <v>0</v>
      </c>
      <c r="AY3" s="8">
        <f t="shared" si="3"/>
        <v>0</v>
      </c>
      <c r="AZ3" s="8">
        <f t="shared" si="4"/>
        <v>0</v>
      </c>
      <c r="BB3" s="2">
        <v>-89</v>
      </c>
      <c r="BC3" s="8">
        <f t="shared" ref="BC2:BC33" si="8">COUNTIFS($T$71:$X$75,  "&gt;="&amp;$BB3, $T$71:$X$75,  "&lt;"&amp;($BB3+1)) / COUNT($T$71:$X$75)</f>
        <v>0</v>
      </c>
      <c r="BD3" s="8">
        <f t="shared" si="5"/>
        <v>0</v>
      </c>
      <c r="BE3" s="8">
        <f t="shared" si="6"/>
        <v>0</v>
      </c>
      <c r="BF3" s="8">
        <f t="shared" si="7"/>
        <v>0</v>
      </c>
      <c r="BH3" s="9">
        <v>2</v>
      </c>
      <c r="BI3" s="9">
        <v>0</v>
      </c>
      <c r="BJ3" s="9">
        <f>COUNTIF($Y$87:$AC$91, $BH3) / COUNT($Y$87:$AC$91)</f>
        <v>0</v>
      </c>
      <c r="BK3" s="9">
        <f>COUNTIF($T$92:$X$96, $BH3) / COUNT($T$92:$X$96)</f>
        <v>0</v>
      </c>
      <c r="BL3" s="9">
        <f>COUNTIF($Y$92:$AC$96, $BH3) / COUNT($Y$92:$AC$96)</f>
        <v>1</v>
      </c>
    </row>
    <row r="4" spans="1:64" x14ac:dyDescent="0.45">
      <c r="A4" s="28"/>
      <c r="S4" s="6">
        <v>128</v>
      </c>
      <c r="T4" s="6">
        <v>128</v>
      </c>
      <c r="U4" s="6">
        <v>128</v>
      </c>
      <c r="V4" s="6">
        <v>128</v>
      </c>
      <c r="W4" s="6">
        <v>128</v>
      </c>
      <c r="X4" s="6">
        <v>128</v>
      </c>
      <c r="Y4" s="6">
        <v>0</v>
      </c>
      <c r="Z4" s="6">
        <v>0</v>
      </c>
      <c r="AA4" s="6">
        <v>0</v>
      </c>
      <c r="AB4" s="6">
        <v>255</v>
      </c>
      <c r="AC4" s="6">
        <v>255</v>
      </c>
      <c r="AD4" s="6">
        <v>255</v>
      </c>
      <c r="AU4" s="1">
        <v>2</v>
      </c>
      <c r="AV4" s="8">
        <f t="shared" si="0"/>
        <v>0</v>
      </c>
      <c r="AW4" s="8">
        <f t="shared" si="1"/>
        <v>0</v>
      </c>
      <c r="AX4" s="8">
        <f t="shared" si="2"/>
        <v>0</v>
      </c>
      <c r="AY4" s="8">
        <f t="shared" si="3"/>
        <v>0</v>
      </c>
      <c r="AZ4" s="8">
        <f t="shared" si="4"/>
        <v>0</v>
      </c>
      <c r="BB4" s="2">
        <v>-88</v>
      </c>
      <c r="BC4" s="8">
        <f t="shared" si="8"/>
        <v>0</v>
      </c>
      <c r="BD4" s="8">
        <f t="shared" si="5"/>
        <v>0</v>
      </c>
      <c r="BE4" s="8">
        <f t="shared" si="6"/>
        <v>0</v>
      </c>
      <c r="BF4" s="8">
        <f t="shared" si="7"/>
        <v>0</v>
      </c>
      <c r="BH4" s="9">
        <v>3</v>
      </c>
      <c r="BI4" s="9">
        <v>0</v>
      </c>
      <c r="BJ4" s="9">
        <f>COUNTIF($Y$87:$AC$91, $BH4) / COUNT($Y$87:$AC$91)</f>
        <v>0</v>
      </c>
      <c r="BK4" s="9">
        <f>COUNTIF($T$92:$X$96, $BH4) / COUNT($T$92:$X$96)</f>
        <v>0</v>
      </c>
      <c r="BL4" s="9">
        <f>COUNTIF($Y$92:$AC$96, $BH4) / COUNT($Y$92:$AC$96)</f>
        <v>0</v>
      </c>
    </row>
    <row r="5" spans="1:64" x14ac:dyDescent="0.45">
      <c r="A5" s="28"/>
      <c r="S5" s="6">
        <v>128</v>
      </c>
      <c r="T5" s="6">
        <v>128</v>
      </c>
      <c r="U5" s="6">
        <v>128</v>
      </c>
      <c r="V5" s="6">
        <v>128</v>
      </c>
      <c r="W5" s="6">
        <v>128</v>
      </c>
      <c r="X5" s="6">
        <v>128</v>
      </c>
      <c r="Y5" s="6">
        <v>0</v>
      </c>
      <c r="Z5" s="6">
        <v>0</v>
      </c>
      <c r="AA5" s="6">
        <v>255</v>
      </c>
      <c r="AB5" s="6">
        <v>255</v>
      </c>
      <c r="AC5" s="6">
        <v>255</v>
      </c>
      <c r="AD5" s="6">
        <v>255</v>
      </c>
      <c r="AU5" s="1">
        <v>3</v>
      </c>
      <c r="AV5" s="8">
        <f t="shared" si="0"/>
        <v>0</v>
      </c>
      <c r="AW5" s="8">
        <f t="shared" si="1"/>
        <v>0</v>
      </c>
      <c r="AX5" s="8">
        <f t="shared" si="2"/>
        <v>0</v>
      </c>
      <c r="AY5" s="8">
        <f t="shared" si="3"/>
        <v>0</v>
      </c>
      <c r="AZ5" s="8">
        <f t="shared" si="4"/>
        <v>0</v>
      </c>
      <c r="BB5" s="2">
        <v>-87</v>
      </c>
      <c r="BC5" s="8">
        <f t="shared" si="8"/>
        <v>0</v>
      </c>
      <c r="BD5" s="8">
        <f t="shared" si="5"/>
        <v>0</v>
      </c>
      <c r="BE5" s="8">
        <f t="shared" si="6"/>
        <v>0</v>
      </c>
      <c r="BF5" s="8">
        <f t="shared" si="7"/>
        <v>0</v>
      </c>
      <c r="BH5" s="9">
        <v>4</v>
      </c>
      <c r="BI5" s="9">
        <v>0</v>
      </c>
      <c r="BJ5" s="9">
        <f>COUNTIF($Y$87:$AC$91, $BH5) / COUNT($Y$87:$AC$91)</f>
        <v>0</v>
      </c>
      <c r="BK5" s="9">
        <f>COUNTIF($T$92:$X$96, $BH5) / COUNT($T$92:$X$96)</f>
        <v>0</v>
      </c>
      <c r="BL5" s="9">
        <f>COUNTIF($Y$92:$AC$96, $BH5) / COUNT($Y$92:$AC$96)</f>
        <v>0</v>
      </c>
    </row>
    <row r="6" spans="1:64" x14ac:dyDescent="0.45">
      <c r="A6" s="28"/>
      <c r="S6" s="6">
        <v>128</v>
      </c>
      <c r="T6" s="6">
        <v>128</v>
      </c>
      <c r="U6" s="6">
        <v>128</v>
      </c>
      <c r="V6" s="6">
        <v>128</v>
      </c>
      <c r="W6" s="6">
        <v>128</v>
      </c>
      <c r="X6" s="6">
        <v>128</v>
      </c>
      <c r="Y6" s="6">
        <v>0</v>
      </c>
      <c r="Z6" s="6">
        <v>255</v>
      </c>
      <c r="AA6" s="6">
        <v>255</v>
      </c>
      <c r="AB6" s="6">
        <v>255</v>
      </c>
      <c r="AC6" s="6">
        <v>255</v>
      </c>
      <c r="AD6" s="6">
        <v>255</v>
      </c>
      <c r="AU6" s="1">
        <v>4</v>
      </c>
      <c r="AV6" s="8">
        <f t="shared" si="0"/>
        <v>0</v>
      </c>
      <c r="AW6" s="8">
        <f t="shared" si="1"/>
        <v>0</v>
      </c>
      <c r="AX6" s="8">
        <f t="shared" si="2"/>
        <v>0</v>
      </c>
      <c r="AY6" s="8">
        <f t="shared" si="3"/>
        <v>0</v>
      </c>
      <c r="AZ6" s="8">
        <f t="shared" si="4"/>
        <v>0</v>
      </c>
      <c r="BB6" s="2">
        <v>-86</v>
      </c>
      <c r="BC6" s="8">
        <f t="shared" si="8"/>
        <v>0</v>
      </c>
      <c r="BD6" s="8">
        <f t="shared" si="5"/>
        <v>0</v>
      </c>
      <c r="BE6" s="8">
        <f t="shared" si="6"/>
        <v>0</v>
      </c>
      <c r="BF6" s="8">
        <f t="shared" si="7"/>
        <v>0</v>
      </c>
      <c r="BH6" s="9">
        <v>5</v>
      </c>
      <c r="BI6" s="9">
        <v>0</v>
      </c>
      <c r="BJ6" s="9">
        <f>COUNTIF($Y$87:$AC$91, $BH6) / COUNT($Y$87:$AC$91)</f>
        <v>1</v>
      </c>
      <c r="BK6" s="9">
        <f>COUNTIF($T$92:$X$96, $BH6) / COUNT($T$92:$X$96)</f>
        <v>0</v>
      </c>
      <c r="BL6" s="9">
        <f>COUNTIF($Y$92:$AC$96, $BH6) / COUNT($Y$92:$AC$96)</f>
        <v>0</v>
      </c>
    </row>
    <row r="7" spans="1:64" x14ac:dyDescent="0.45">
      <c r="A7" s="28"/>
      <c r="S7" s="6">
        <v>128</v>
      </c>
      <c r="T7" s="6">
        <v>128</v>
      </c>
      <c r="U7" s="6">
        <v>128</v>
      </c>
      <c r="V7" s="6">
        <v>128</v>
      </c>
      <c r="W7" s="6">
        <v>128</v>
      </c>
      <c r="X7" s="6">
        <v>128</v>
      </c>
      <c r="Y7" s="6">
        <v>255</v>
      </c>
      <c r="Z7" s="6">
        <v>255</v>
      </c>
      <c r="AA7" s="6">
        <v>255</v>
      </c>
      <c r="AB7" s="6">
        <v>255</v>
      </c>
      <c r="AC7" s="6">
        <v>255</v>
      </c>
      <c r="AD7" s="6">
        <v>255</v>
      </c>
      <c r="AU7" s="1">
        <v>5</v>
      </c>
      <c r="AV7" s="8">
        <f t="shared" si="0"/>
        <v>0</v>
      </c>
      <c r="AW7" s="8">
        <f t="shared" si="1"/>
        <v>0</v>
      </c>
      <c r="AX7" s="8">
        <f t="shared" si="2"/>
        <v>0</v>
      </c>
      <c r="AY7" s="8">
        <f t="shared" si="3"/>
        <v>0</v>
      </c>
      <c r="AZ7" s="8">
        <f t="shared" si="4"/>
        <v>0</v>
      </c>
      <c r="BB7" s="2">
        <v>-85</v>
      </c>
      <c r="BC7" s="8">
        <f t="shared" si="8"/>
        <v>0</v>
      </c>
      <c r="BD7" s="8">
        <f t="shared" si="5"/>
        <v>0</v>
      </c>
      <c r="BE7" s="8">
        <f t="shared" si="6"/>
        <v>0</v>
      </c>
      <c r="BF7" s="8">
        <f t="shared" si="7"/>
        <v>0</v>
      </c>
    </row>
    <row r="8" spans="1:64" x14ac:dyDescent="0.45">
      <c r="A8" s="28"/>
      <c r="S8" s="6">
        <v>0</v>
      </c>
      <c r="T8" s="6">
        <v>0</v>
      </c>
      <c r="U8" s="6">
        <v>0</v>
      </c>
      <c r="V8" s="6">
        <v>255</v>
      </c>
      <c r="W8" s="6">
        <v>255</v>
      </c>
      <c r="X8" s="6">
        <v>255</v>
      </c>
      <c r="Y8" s="6">
        <v>0</v>
      </c>
      <c r="Z8" s="6">
        <v>0</v>
      </c>
      <c r="AA8" s="6">
        <v>0</v>
      </c>
      <c r="AB8" s="6">
        <v>0</v>
      </c>
      <c r="AC8" s="6">
        <v>0</v>
      </c>
      <c r="AD8" s="6">
        <v>0</v>
      </c>
      <c r="AU8" s="1">
        <v>6</v>
      </c>
      <c r="AV8" s="8">
        <f t="shared" si="0"/>
        <v>0</v>
      </c>
      <c r="AW8" s="8">
        <f t="shared" si="1"/>
        <v>0</v>
      </c>
      <c r="AX8" s="8">
        <f t="shared" si="2"/>
        <v>0</v>
      </c>
      <c r="AY8" s="8">
        <f t="shared" si="3"/>
        <v>0</v>
      </c>
      <c r="AZ8" s="8">
        <f t="shared" si="4"/>
        <v>0</v>
      </c>
      <c r="BB8" s="2">
        <v>-84</v>
      </c>
      <c r="BC8" s="8">
        <f t="shared" si="8"/>
        <v>0</v>
      </c>
      <c r="BD8" s="8">
        <f t="shared" si="5"/>
        <v>0</v>
      </c>
      <c r="BE8" s="8">
        <f t="shared" si="6"/>
        <v>0</v>
      </c>
      <c r="BF8" s="8">
        <f t="shared" si="7"/>
        <v>0</v>
      </c>
    </row>
    <row r="9" spans="1:64" x14ac:dyDescent="0.45">
      <c r="A9" s="28"/>
      <c r="S9" s="6">
        <v>0</v>
      </c>
      <c r="T9" s="6">
        <v>0</v>
      </c>
      <c r="U9" s="6">
        <v>0</v>
      </c>
      <c r="V9" s="6">
        <v>255</v>
      </c>
      <c r="W9" s="6">
        <v>255</v>
      </c>
      <c r="X9" s="6">
        <v>255</v>
      </c>
      <c r="Y9" s="6">
        <v>0</v>
      </c>
      <c r="Z9" s="6">
        <v>0</v>
      </c>
      <c r="AA9" s="6">
        <v>0</v>
      </c>
      <c r="AB9" s="6">
        <v>0</v>
      </c>
      <c r="AC9" s="6">
        <v>0</v>
      </c>
      <c r="AD9" s="6">
        <v>0</v>
      </c>
      <c r="AU9" s="1">
        <v>7</v>
      </c>
      <c r="AV9" s="8">
        <f t="shared" si="0"/>
        <v>0</v>
      </c>
      <c r="AW9" s="8">
        <f t="shared" si="1"/>
        <v>0</v>
      </c>
      <c r="AX9" s="8">
        <f t="shared" si="2"/>
        <v>0</v>
      </c>
      <c r="AY9" s="8">
        <f t="shared" si="3"/>
        <v>0</v>
      </c>
      <c r="AZ9" s="8">
        <f t="shared" si="4"/>
        <v>0</v>
      </c>
      <c r="BB9" s="2">
        <v>-83</v>
      </c>
      <c r="BC9" s="8">
        <f t="shared" si="8"/>
        <v>0</v>
      </c>
      <c r="BD9" s="8">
        <f t="shared" si="5"/>
        <v>0</v>
      </c>
      <c r="BE9" s="8">
        <f t="shared" si="6"/>
        <v>0</v>
      </c>
      <c r="BF9" s="8">
        <f t="shared" si="7"/>
        <v>0</v>
      </c>
    </row>
    <row r="10" spans="1:64" x14ac:dyDescent="0.45">
      <c r="A10" s="28"/>
      <c r="S10" s="6">
        <v>0</v>
      </c>
      <c r="T10" s="6">
        <v>0</v>
      </c>
      <c r="U10" s="6">
        <v>0</v>
      </c>
      <c r="V10" s="6">
        <v>255</v>
      </c>
      <c r="W10" s="6">
        <v>255</v>
      </c>
      <c r="X10" s="6">
        <v>255</v>
      </c>
      <c r="Y10" s="6">
        <v>0</v>
      </c>
      <c r="Z10" s="6">
        <v>0</v>
      </c>
      <c r="AA10" s="6">
        <v>0</v>
      </c>
      <c r="AB10" s="6">
        <v>0</v>
      </c>
      <c r="AC10" s="6">
        <v>0</v>
      </c>
      <c r="AD10" s="6">
        <v>0</v>
      </c>
      <c r="AU10" s="1">
        <v>8</v>
      </c>
      <c r="AV10" s="8">
        <f t="shared" si="0"/>
        <v>0</v>
      </c>
      <c r="AW10" s="8">
        <f t="shared" si="1"/>
        <v>0</v>
      </c>
      <c r="AX10" s="8">
        <f t="shared" si="2"/>
        <v>0</v>
      </c>
      <c r="AY10" s="8">
        <f t="shared" si="3"/>
        <v>0</v>
      </c>
      <c r="AZ10" s="8">
        <f t="shared" si="4"/>
        <v>0</v>
      </c>
      <c r="BB10" s="2">
        <v>-82</v>
      </c>
      <c r="BC10" s="8">
        <f t="shared" si="8"/>
        <v>0</v>
      </c>
      <c r="BD10" s="8">
        <f t="shared" si="5"/>
        <v>0</v>
      </c>
      <c r="BE10" s="8">
        <f t="shared" si="6"/>
        <v>0</v>
      </c>
      <c r="BF10" s="8">
        <f t="shared" si="7"/>
        <v>0</v>
      </c>
    </row>
    <row r="11" spans="1:64" x14ac:dyDescent="0.45">
      <c r="A11" s="28"/>
      <c r="S11" s="6">
        <v>0</v>
      </c>
      <c r="T11" s="6">
        <v>0</v>
      </c>
      <c r="U11" s="6">
        <v>0</v>
      </c>
      <c r="V11" s="6">
        <v>255</v>
      </c>
      <c r="W11" s="6">
        <v>255</v>
      </c>
      <c r="X11" s="6">
        <v>255</v>
      </c>
      <c r="Y11" s="6">
        <v>255</v>
      </c>
      <c r="Z11" s="6">
        <v>255</v>
      </c>
      <c r="AA11" s="6">
        <v>255</v>
      </c>
      <c r="AB11" s="6">
        <v>255</v>
      </c>
      <c r="AC11" s="6">
        <v>255</v>
      </c>
      <c r="AD11" s="6">
        <v>255</v>
      </c>
      <c r="AU11" s="1">
        <v>9</v>
      </c>
      <c r="AV11" s="8">
        <f t="shared" si="0"/>
        <v>0</v>
      </c>
      <c r="AW11" s="8">
        <f t="shared" si="1"/>
        <v>0</v>
      </c>
      <c r="AX11" s="8">
        <f t="shared" si="2"/>
        <v>0</v>
      </c>
      <c r="AY11" s="8">
        <f t="shared" si="3"/>
        <v>0</v>
      </c>
      <c r="AZ11" s="8">
        <f t="shared" si="4"/>
        <v>0</v>
      </c>
      <c r="BB11" s="2">
        <v>-81</v>
      </c>
      <c r="BC11" s="8">
        <f t="shared" si="8"/>
        <v>0</v>
      </c>
      <c r="BD11" s="8">
        <f t="shared" si="5"/>
        <v>0</v>
      </c>
      <c r="BE11" s="8">
        <f t="shared" si="6"/>
        <v>0</v>
      </c>
      <c r="BF11" s="8">
        <f t="shared" si="7"/>
        <v>0</v>
      </c>
    </row>
    <row r="12" spans="1:64" x14ac:dyDescent="0.45">
      <c r="A12" s="28"/>
      <c r="S12" s="6">
        <v>0</v>
      </c>
      <c r="T12" s="6">
        <v>0</v>
      </c>
      <c r="U12" s="6">
        <v>0</v>
      </c>
      <c r="V12" s="6">
        <v>255</v>
      </c>
      <c r="W12" s="6">
        <v>255</v>
      </c>
      <c r="X12" s="6">
        <v>255</v>
      </c>
      <c r="Y12" s="6">
        <v>255</v>
      </c>
      <c r="Z12" s="6">
        <v>255</v>
      </c>
      <c r="AA12" s="6">
        <v>255</v>
      </c>
      <c r="AB12" s="6">
        <v>255</v>
      </c>
      <c r="AC12" s="6">
        <v>255</v>
      </c>
      <c r="AD12" s="6">
        <v>255</v>
      </c>
      <c r="AU12" s="1">
        <v>10</v>
      </c>
      <c r="AV12" s="8">
        <f t="shared" si="0"/>
        <v>0</v>
      </c>
      <c r="AW12" s="8">
        <f t="shared" si="1"/>
        <v>0</v>
      </c>
      <c r="AX12" s="8">
        <f t="shared" si="2"/>
        <v>0</v>
      </c>
      <c r="AY12" s="8">
        <f t="shared" si="3"/>
        <v>0</v>
      </c>
      <c r="AZ12" s="8">
        <f t="shared" si="4"/>
        <v>0</v>
      </c>
      <c r="BB12" s="2">
        <v>-80</v>
      </c>
      <c r="BC12" s="8">
        <f t="shared" si="8"/>
        <v>0</v>
      </c>
      <c r="BD12" s="8">
        <f t="shared" si="5"/>
        <v>0</v>
      </c>
      <c r="BE12" s="8">
        <f t="shared" si="6"/>
        <v>0</v>
      </c>
      <c r="BF12" s="8">
        <f t="shared" si="7"/>
        <v>0</v>
      </c>
    </row>
    <row r="13" spans="1:64" x14ac:dyDescent="0.45">
      <c r="A13" s="28"/>
      <c r="S13" s="6">
        <v>0</v>
      </c>
      <c r="T13" s="6">
        <v>0</v>
      </c>
      <c r="U13" s="6">
        <v>0</v>
      </c>
      <c r="V13" s="6">
        <v>255</v>
      </c>
      <c r="W13" s="6">
        <v>255</v>
      </c>
      <c r="X13" s="6">
        <v>255</v>
      </c>
      <c r="Y13" s="6">
        <v>255</v>
      </c>
      <c r="Z13" s="6">
        <v>255</v>
      </c>
      <c r="AA13" s="6">
        <v>255</v>
      </c>
      <c r="AB13" s="6">
        <v>255</v>
      </c>
      <c r="AC13" s="6">
        <v>255</v>
      </c>
      <c r="AD13" s="6">
        <v>255</v>
      </c>
      <c r="AU13" s="1">
        <v>11</v>
      </c>
      <c r="AV13" s="8">
        <f t="shared" si="0"/>
        <v>0</v>
      </c>
      <c r="AW13" s="8">
        <f t="shared" si="1"/>
        <v>0</v>
      </c>
      <c r="AX13" s="8">
        <f t="shared" si="2"/>
        <v>0</v>
      </c>
      <c r="AY13" s="8">
        <f t="shared" si="3"/>
        <v>0</v>
      </c>
      <c r="AZ13" s="8">
        <f t="shared" si="4"/>
        <v>0</v>
      </c>
      <c r="BB13" s="2">
        <v>-79</v>
      </c>
      <c r="BC13" s="8">
        <f t="shared" si="8"/>
        <v>0</v>
      </c>
      <c r="BD13" s="8">
        <f t="shared" si="5"/>
        <v>0</v>
      </c>
      <c r="BE13" s="8">
        <f t="shared" si="6"/>
        <v>0</v>
      </c>
      <c r="BF13" s="8">
        <f t="shared" si="7"/>
        <v>0</v>
      </c>
    </row>
    <row r="14" spans="1:64" x14ac:dyDescent="0.45">
      <c r="A14" s="28"/>
      <c r="S14" s="1"/>
      <c r="T14" s="1"/>
      <c r="AU14" s="1">
        <v>12</v>
      </c>
      <c r="AV14" s="8">
        <f t="shared" si="0"/>
        <v>0</v>
      </c>
      <c r="AW14" s="8">
        <f t="shared" si="1"/>
        <v>0</v>
      </c>
      <c r="AX14" s="8">
        <f t="shared" si="2"/>
        <v>0</v>
      </c>
      <c r="AY14" s="8">
        <f t="shared" si="3"/>
        <v>0</v>
      </c>
      <c r="AZ14" s="8">
        <f t="shared" si="4"/>
        <v>0</v>
      </c>
      <c r="BB14" s="2">
        <v>-78</v>
      </c>
      <c r="BC14" s="8">
        <f t="shared" si="8"/>
        <v>0</v>
      </c>
      <c r="BD14" s="8">
        <f t="shared" si="5"/>
        <v>0</v>
      </c>
      <c r="BE14" s="8">
        <f t="shared" si="6"/>
        <v>0</v>
      </c>
      <c r="BF14" s="8">
        <f t="shared" si="7"/>
        <v>0</v>
      </c>
    </row>
    <row r="15" spans="1:64" x14ac:dyDescent="0.45">
      <c r="A15" s="28"/>
      <c r="AU15" s="1">
        <v>13</v>
      </c>
      <c r="AV15" s="8">
        <f t="shared" si="0"/>
        <v>0</v>
      </c>
      <c r="AW15" s="8">
        <f t="shared" si="1"/>
        <v>0</v>
      </c>
      <c r="AX15" s="8">
        <f t="shared" si="2"/>
        <v>0</v>
      </c>
      <c r="AY15" s="8">
        <f t="shared" si="3"/>
        <v>0</v>
      </c>
      <c r="AZ15" s="8">
        <f t="shared" si="4"/>
        <v>0</v>
      </c>
      <c r="BB15" s="2">
        <v>-77</v>
      </c>
      <c r="BC15" s="8">
        <f t="shared" si="8"/>
        <v>0</v>
      </c>
      <c r="BD15" s="8">
        <f t="shared" si="5"/>
        <v>0</v>
      </c>
      <c r="BE15" s="8">
        <f t="shared" si="6"/>
        <v>0</v>
      </c>
      <c r="BF15" s="8">
        <f t="shared" si="7"/>
        <v>0</v>
      </c>
    </row>
    <row r="16" spans="1:64" x14ac:dyDescent="0.45">
      <c r="A16" s="28"/>
      <c r="AU16" s="1">
        <v>14</v>
      </c>
      <c r="AV16" s="8">
        <f t="shared" si="0"/>
        <v>0</v>
      </c>
      <c r="AW16" s="8">
        <f t="shared" si="1"/>
        <v>0</v>
      </c>
      <c r="AX16" s="8">
        <f t="shared" si="2"/>
        <v>0</v>
      </c>
      <c r="AY16" s="8">
        <f t="shared" si="3"/>
        <v>0</v>
      </c>
      <c r="AZ16" s="8">
        <f t="shared" si="4"/>
        <v>0</v>
      </c>
      <c r="BB16" s="2">
        <v>-76</v>
      </c>
      <c r="BC16" s="8">
        <f t="shared" si="8"/>
        <v>0</v>
      </c>
      <c r="BD16" s="8">
        <f t="shared" si="5"/>
        <v>0</v>
      </c>
      <c r="BE16" s="8">
        <f t="shared" si="6"/>
        <v>0</v>
      </c>
      <c r="BF16" s="8">
        <f t="shared" si="7"/>
        <v>0</v>
      </c>
    </row>
    <row r="17" spans="1:58" x14ac:dyDescent="0.45">
      <c r="AU17" s="1">
        <v>15</v>
      </c>
      <c r="AV17" s="8">
        <f t="shared" si="0"/>
        <v>0</v>
      </c>
      <c r="AW17" s="8">
        <f t="shared" si="1"/>
        <v>0</v>
      </c>
      <c r="AX17" s="8">
        <f t="shared" si="2"/>
        <v>0</v>
      </c>
      <c r="AY17" s="8">
        <f t="shared" si="3"/>
        <v>0</v>
      </c>
      <c r="AZ17" s="8">
        <f t="shared" si="4"/>
        <v>0</v>
      </c>
      <c r="BB17" s="2">
        <v>-75</v>
      </c>
      <c r="BC17" s="8">
        <f t="shared" si="8"/>
        <v>0</v>
      </c>
      <c r="BD17" s="8">
        <f t="shared" si="5"/>
        <v>0</v>
      </c>
      <c r="BE17" s="8">
        <f t="shared" si="6"/>
        <v>0</v>
      </c>
      <c r="BF17" s="8">
        <f t="shared" si="7"/>
        <v>0</v>
      </c>
    </row>
    <row r="18" spans="1:58" x14ac:dyDescent="0.45">
      <c r="AU18" s="1">
        <v>16</v>
      </c>
      <c r="AV18" s="8">
        <f t="shared" si="0"/>
        <v>0</v>
      </c>
      <c r="AW18" s="8">
        <f t="shared" si="1"/>
        <v>0</v>
      </c>
      <c r="AX18" s="8">
        <f t="shared" si="2"/>
        <v>0</v>
      </c>
      <c r="AY18" s="8">
        <f t="shared" si="3"/>
        <v>0</v>
      </c>
      <c r="AZ18" s="8">
        <f t="shared" si="4"/>
        <v>0</v>
      </c>
      <c r="BB18" s="2">
        <v>-74</v>
      </c>
      <c r="BC18" s="8">
        <f t="shared" si="8"/>
        <v>0</v>
      </c>
      <c r="BD18" s="8">
        <f t="shared" si="5"/>
        <v>0</v>
      </c>
      <c r="BE18" s="8">
        <f t="shared" si="6"/>
        <v>0</v>
      </c>
      <c r="BF18" s="8">
        <f t="shared" si="7"/>
        <v>0</v>
      </c>
    </row>
    <row r="19" spans="1:58" x14ac:dyDescent="0.45">
      <c r="AU19" s="1">
        <v>17</v>
      </c>
      <c r="AV19" s="8">
        <f t="shared" si="0"/>
        <v>0</v>
      </c>
      <c r="AW19" s="8">
        <f t="shared" si="1"/>
        <v>0</v>
      </c>
      <c r="AX19" s="8">
        <f t="shared" si="2"/>
        <v>0</v>
      </c>
      <c r="AY19" s="8">
        <f t="shared" si="3"/>
        <v>0</v>
      </c>
      <c r="AZ19" s="8">
        <f t="shared" si="4"/>
        <v>0</v>
      </c>
      <c r="BB19" s="2">
        <v>-73</v>
      </c>
      <c r="BC19" s="8">
        <f t="shared" si="8"/>
        <v>0</v>
      </c>
      <c r="BD19" s="8">
        <f t="shared" si="5"/>
        <v>0</v>
      </c>
      <c r="BE19" s="8">
        <f t="shared" si="6"/>
        <v>0</v>
      </c>
      <c r="BF19" s="8">
        <f t="shared" si="7"/>
        <v>0</v>
      </c>
    </row>
    <row r="20" spans="1:58" x14ac:dyDescent="0.45">
      <c r="A20" s="28" t="s">
        <v>22</v>
      </c>
      <c r="AU20" s="1">
        <v>18</v>
      </c>
      <c r="AV20" s="8">
        <f t="shared" si="0"/>
        <v>0</v>
      </c>
      <c r="AW20" s="8">
        <f t="shared" si="1"/>
        <v>0</v>
      </c>
      <c r="AX20" s="8">
        <f t="shared" si="2"/>
        <v>0</v>
      </c>
      <c r="AY20" s="8">
        <f t="shared" si="3"/>
        <v>0</v>
      </c>
      <c r="AZ20" s="8">
        <f t="shared" si="4"/>
        <v>0</v>
      </c>
      <c r="BB20" s="2">
        <v>-72</v>
      </c>
      <c r="BC20" s="8">
        <f t="shared" si="8"/>
        <v>0</v>
      </c>
      <c r="BD20" s="8">
        <f t="shared" si="5"/>
        <v>0</v>
      </c>
      <c r="BE20" s="8">
        <f t="shared" si="6"/>
        <v>0</v>
      </c>
      <c r="BF20" s="8">
        <f t="shared" si="7"/>
        <v>0</v>
      </c>
    </row>
    <row r="21" spans="1:58" x14ac:dyDescent="0.45">
      <c r="A21" s="28"/>
      <c r="AU21" s="1">
        <v>19</v>
      </c>
      <c r="AV21" s="8">
        <f t="shared" si="0"/>
        <v>0</v>
      </c>
      <c r="AW21" s="8">
        <f t="shared" si="1"/>
        <v>0</v>
      </c>
      <c r="AX21" s="8">
        <f t="shared" si="2"/>
        <v>0</v>
      </c>
      <c r="AY21" s="8">
        <f t="shared" si="3"/>
        <v>0</v>
      </c>
      <c r="AZ21" s="8">
        <f t="shared" si="4"/>
        <v>0</v>
      </c>
      <c r="BB21" s="2">
        <v>-71</v>
      </c>
      <c r="BC21" s="8">
        <f t="shared" si="8"/>
        <v>0</v>
      </c>
      <c r="BD21" s="8">
        <f t="shared" si="5"/>
        <v>0</v>
      </c>
      <c r="BE21" s="8">
        <f t="shared" si="6"/>
        <v>0</v>
      </c>
      <c r="BF21" s="8">
        <f t="shared" si="7"/>
        <v>0</v>
      </c>
    </row>
    <row r="22" spans="1:58" x14ac:dyDescent="0.45">
      <c r="A22" s="28"/>
      <c r="AU22" s="1">
        <v>20</v>
      </c>
      <c r="AV22" s="8">
        <f t="shared" si="0"/>
        <v>0</v>
      </c>
      <c r="AW22" s="8">
        <f t="shared" si="1"/>
        <v>0</v>
      </c>
      <c r="AX22" s="8">
        <f t="shared" si="2"/>
        <v>0</v>
      </c>
      <c r="AY22" s="8">
        <f t="shared" si="3"/>
        <v>0</v>
      </c>
      <c r="AZ22" s="8">
        <f t="shared" si="4"/>
        <v>0</v>
      </c>
      <c r="BB22" s="2">
        <v>-70</v>
      </c>
      <c r="BC22" s="8">
        <f t="shared" si="8"/>
        <v>0</v>
      </c>
      <c r="BD22" s="8">
        <f t="shared" si="5"/>
        <v>0</v>
      </c>
      <c r="BE22" s="8">
        <f t="shared" si="6"/>
        <v>0</v>
      </c>
      <c r="BF22" s="8">
        <f t="shared" si="7"/>
        <v>0</v>
      </c>
    </row>
    <row r="23" spans="1:58" x14ac:dyDescent="0.45">
      <c r="A23" s="28"/>
      <c r="AU23" s="1">
        <v>21</v>
      </c>
      <c r="AV23" s="8">
        <f t="shared" si="0"/>
        <v>0</v>
      </c>
      <c r="AW23" s="8">
        <f t="shared" si="1"/>
        <v>0</v>
      </c>
      <c r="AX23" s="8">
        <f t="shared" si="2"/>
        <v>0</v>
      </c>
      <c r="AY23" s="8">
        <f t="shared" si="3"/>
        <v>0</v>
      </c>
      <c r="AZ23" s="8">
        <f t="shared" si="4"/>
        <v>0</v>
      </c>
      <c r="BB23" s="2">
        <v>-69</v>
      </c>
      <c r="BC23" s="8">
        <f t="shared" si="8"/>
        <v>0</v>
      </c>
      <c r="BD23" s="8">
        <f t="shared" si="5"/>
        <v>0</v>
      </c>
      <c r="BE23" s="8">
        <f t="shared" si="6"/>
        <v>0</v>
      </c>
      <c r="BF23" s="8">
        <f t="shared" si="7"/>
        <v>0</v>
      </c>
    </row>
    <row r="24" spans="1:58" x14ac:dyDescent="0.45">
      <c r="A24" s="28"/>
      <c r="Q24" s="7"/>
      <c r="AU24" s="1">
        <v>22</v>
      </c>
      <c r="AV24" s="8">
        <f t="shared" si="0"/>
        <v>0</v>
      </c>
      <c r="AW24" s="8">
        <f t="shared" si="1"/>
        <v>0</v>
      </c>
      <c r="AX24" s="8">
        <f t="shared" si="2"/>
        <v>0</v>
      </c>
      <c r="AY24" s="8">
        <f t="shared" si="3"/>
        <v>0</v>
      </c>
      <c r="AZ24" s="8">
        <f t="shared" si="4"/>
        <v>0</v>
      </c>
      <c r="BB24" s="2">
        <v>-68</v>
      </c>
      <c r="BC24" s="8">
        <f t="shared" si="8"/>
        <v>0</v>
      </c>
      <c r="BD24" s="8">
        <f t="shared" si="5"/>
        <v>0</v>
      </c>
      <c r="BE24" s="8">
        <f t="shared" si="6"/>
        <v>0</v>
      </c>
      <c r="BF24" s="8">
        <f t="shared" si="7"/>
        <v>0</v>
      </c>
    </row>
    <row r="25" spans="1:58" x14ac:dyDescent="0.45">
      <c r="A25" s="28"/>
      <c r="AU25" s="1">
        <v>23</v>
      </c>
      <c r="AV25" s="8">
        <f t="shared" si="0"/>
        <v>0</v>
      </c>
      <c r="AW25" s="8">
        <f t="shared" si="1"/>
        <v>0</v>
      </c>
      <c r="AX25" s="8">
        <f t="shared" si="2"/>
        <v>0</v>
      </c>
      <c r="AY25" s="8">
        <f t="shared" si="3"/>
        <v>0</v>
      </c>
      <c r="AZ25" s="8">
        <f t="shared" si="4"/>
        <v>0</v>
      </c>
      <c r="BB25" s="2">
        <v>-67</v>
      </c>
      <c r="BC25" s="8">
        <f t="shared" si="8"/>
        <v>0</v>
      </c>
      <c r="BD25" s="8">
        <f t="shared" si="5"/>
        <v>0</v>
      </c>
      <c r="BE25" s="8">
        <f t="shared" si="6"/>
        <v>0</v>
      </c>
      <c r="BF25" s="8">
        <f t="shared" si="7"/>
        <v>0</v>
      </c>
    </row>
    <row r="26" spans="1:58" x14ac:dyDescent="0.45">
      <c r="A26" s="28"/>
      <c r="AU26" s="1">
        <v>24</v>
      </c>
      <c r="AV26" s="8">
        <f t="shared" si="0"/>
        <v>0</v>
      </c>
      <c r="AW26" s="8">
        <f t="shared" si="1"/>
        <v>0</v>
      </c>
      <c r="AX26" s="8">
        <f t="shared" si="2"/>
        <v>0</v>
      </c>
      <c r="AY26" s="8">
        <f t="shared" si="3"/>
        <v>0</v>
      </c>
      <c r="AZ26" s="8">
        <f t="shared" si="4"/>
        <v>0</v>
      </c>
      <c r="BB26" s="2">
        <v>-66</v>
      </c>
      <c r="BC26" s="8">
        <f t="shared" si="8"/>
        <v>0</v>
      </c>
      <c r="BD26" s="8">
        <f t="shared" si="5"/>
        <v>0</v>
      </c>
      <c r="BE26" s="8">
        <f t="shared" si="6"/>
        <v>0</v>
      </c>
      <c r="BF26" s="8">
        <f t="shared" si="7"/>
        <v>0</v>
      </c>
    </row>
    <row r="27" spans="1:58" x14ac:dyDescent="0.45">
      <c r="A27" s="28"/>
      <c r="AU27" s="1">
        <v>25</v>
      </c>
      <c r="AV27" s="8">
        <f t="shared" si="0"/>
        <v>0</v>
      </c>
      <c r="AW27" s="8">
        <f t="shared" si="1"/>
        <v>0</v>
      </c>
      <c r="AX27" s="8">
        <f t="shared" si="2"/>
        <v>0</v>
      </c>
      <c r="AY27" s="8">
        <f t="shared" si="3"/>
        <v>0</v>
      </c>
      <c r="AZ27" s="8">
        <f t="shared" si="4"/>
        <v>0</v>
      </c>
      <c r="BB27" s="2">
        <v>-65</v>
      </c>
      <c r="BC27" s="8">
        <f t="shared" si="8"/>
        <v>0</v>
      </c>
      <c r="BD27" s="8">
        <f t="shared" si="5"/>
        <v>0</v>
      </c>
      <c r="BE27" s="8">
        <f t="shared" si="6"/>
        <v>0</v>
      </c>
      <c r="BF27" s="8">
        <f t="shared" si="7"/>
        <v>0</v>
      </c>
    </row>
    <row r="28" spans="1:58" x14ac:dyDescent="0.45">
      <c r="A28" s="28"/>
      <c r="AU28" s="1">
        <v>26</v>
      </c>
      <c r="AV28" s="8">
        <f t="shared" si="0"/>
        <v>0</v>
      </c>
      <c r="AW28" s="8">
        <f t="shared" si="1"/>
        <v>0</v>
      </c>
      <c r="AX28" s="8">
        <f t="shared" si="2"/>
        <v>0</v>
      </c>
      <c r="AY28" s="8">
        <f t="shared" si="3"/>
        <v>0</v>
      </c>
      <c r="AZ28" s="8">
        <f t="shared" si="4"/>
        <v>0</v>
      </c>
      <c r="BB28" s="2">
        <v>-64</v>
      </c>
      <c r="BC28" s="8">
        <f t="shared" si="8"/>
        <v>0.1111111111111111</v>
      </c>
      <c r="BD28" s="8">
        <f t="shared" si="5"/>
        <v>9.5238095238095233E-2</v>
      </c>
      <c r="BE28" s="8">
        <f t="shared" si="6"/>
        <v>0</v>
      </c>
      <c r="BF28" s="8">
        <f t="shared" si="7"/>
        <v>6.25E-2</v>
      </c>
    </row>
    <row r="29" spans="1:58" x14ac:dyDescent="0.45">
      <c r="A29" s="28"/>
      <c r="AU29" s="1">
        <v>27</v>
      </c>
      <c r="AV29" s="8">
        <f t="shared" si="0"/>
        <v>0</v>
      </c>
      <c r="AW29" s="8">
        <f t="shared" si="1"/>
        <v>0</v>
      </c>
      <c r="AX29" s="8">
        <f t="shared" si="2"/>
        <v>0</v>
      </c>
      <c r="AY29" s="8">
        <f t="shared" si="3"/>
        <v>0</v>
      </c>
      <c r="AZ29" s="8">
        <f t="shared" si="4"/>
        <v>0</v>
      </c>
      <c r="BB29" s="2">
        <v>-63</v>
      </c>
      <c r="BC29" s="8">
        <f t="shared" si="8"/>
        <v>0</v>
      </c>
      <c r="BD29" s="8">
        <f t="shared" si="5"/>
        <v>0</v>
      </c>
      <c r="BE29" s="8">
        <f t="shared" si="6"/>
        <v>0</v>
      </c>
      <c r="BF29" s="8">
        <f t="shared" si="7"/>
        <v>0</v>
      </c>
    </row>
    <row r="30" spans="1:58" x14ac:dyDescent="0.45">
      <c r="A30" s="28"/>
      <c r="AU30" s="1">
        <v>28</v>
      </c>
      <c r="AV30" s="8">
        <f t="shared" si="0"/>
        <v>0</v>
      </c>
      <c r="AW30" s="8">
        <f t="shared" si="1"/>
        <v>0</v>
      </c>
      <c r="AX30" s="8">
        <f t="shared" si="2"/>
        <v>0</v>
      </c>
      <c r="AY30" s="8">
        <f t="shared" si="3"/>
        <v>0</v>
      </c>
      <c r="AZ30" s="8">
        <f t="shared" si="4"/>
        <v>0</v>
      </c>
      <c r="BB30" s="2">
        <v>-62</v>
      </c>
      <c r="BC30" s="8">
        <f t="shared" si="8"/>
        <v>0</v>
      </c>
      <c r="BD30" s="8">
        <f t="shared" si="5"/>
        <v>0</v>
      </c>
      <c r="BE30" s="8">
        <f t="shared" si="6"/>
        <v>0</v>
      </c>
      <c r="BF30" s="8">
        <f t="shared" si="7"/>
        <v>0</v>
      </c>
    </row>
    <row r="31" spans="1:58" x14ac:dyDescent="0.45">
      <c r="A31" s="28"/>
      <c r="AU31" s="1">
        <v>29</v>
      </c>
      <c r="AV31" s="8">
        <f t="shared" si="0"/>
        <v>0</v>
      </c>
      <c r="AW31" s="8">
        <f t="shared" si="1"/>
        <v>0</v>
      </c>
      <c r="AX31" s="8">
        <f t="shared" si="2"/>
        <v>0</v>
      </c>
      <c r="AY31" s="8">
        <f t="shared" si="3"/>
        <v>0</v>
      </c>
      <c r="AZ31" s="8">
        <f t="shared" si="4"/>
        <v>0</v>
      </c>
      <c r="BB31" s="2">
        <v>-61</v>
      </c>
      <c r="BC31" s="8">
        <f t="shared" si="8"/>
        <v>0</v>
      </c>
      <c r="BD31" s="8">
        <f t="shared" si="5"/>
        <v>0</v>
      </c>
      <c r="BE31" s="8">
        <f t="shared" si="6"/>
        <v>0</v>
      </c>
      <c r="BF31" s="8">
        <f t="shared" si="7"/>
        <v>0</v>
      </c>
    </row>
    <row r="32" spans="1:58" x14ac:dyDescent="0.45">
      <c r="A32" s="28"/>
      <c r="AU32" s="1">
        <v>30</v>
      </c>
      <c r="AV32" s="8">
        <f t="shared" si="0"/>
        <v>0</v>
      </c>
      <c r="AW32" s="8">
        <f t="shared" si="1"/>
        <v>0</v>
      </c>
      <c r="AX32" s="8">
        <f t="shared" si="2"/>
        <v>0</v>
      </c>
      <c r="AY32" s="8">
        <f t="shared" si="3"/>
        <v>0</v>
      </c>
      <c r="AZ32" s="8">
        <f t="shared" si="4"/>
        <v>0</v>
      </c>
      <c r="BB32" s="2">
        <v>-60</v>
      </c>
      <c r="BC32" s="8">
        <f t="shared" si="8"/>
        <v>0</v>
      </c>
      <c r="BD32" s="8">
        <f t="shared" si="5"/>
        <v>0</v>
      </c>
      <c r="BE32" s="8">
        <f t="shared" si="6"/>
        <v>0</v>
      </c>
      <c r="BF32" s="8">
        <f t="shared" si="7"/>
        <v>0</v>
      </c>
    </row>
    <row r="33" spans="1:58" x14ac:dyDescent="0.45">
      <c r="A33" s="28"/>
      <c r="AU33" s="1">
        <v>31</v>
      </c>
      <c r="AV33" s="8">
        <f t="shared" si="0"/>
        <v>0</v>
      </c>
      <c r="AW33" s="8">
        <f t="shared" si="1"/>
        <v>0</v>
      </c>
      <c r="AX33" s="8">
        <f t="shared" si="2"/>
        <v>0</v>
      </c>
      <c r="AY33" s="8">
        <f t="shared" si="3"/>
        <v>0</v>
      </c>
      <c r="AZ33" s="8">
        <f t="shared" si="4"/>
        <v>0</v>
      </c>
      <c r="BB33" s="2">
        <v>-59</v>
      </c>
      <c r="BC33" s="8">
        <f t="shared" si="8"/>
        <v>0</v>
      </c>
      <c r="BD33" s="8">
        <f t="shared" si="5"/>
        <v>0</v>
      </c>
      <c r="BE33" s="8">
        <f t="shared" si="6"/>
        <v>0</v>
      </c>
      <c r="BF33" s="8">
        <f t="shared" si="7"/>
        <v>0</v>
      </c>
    </row>
    <row r="34" spans="1:58" x14ac:dyDescent="0.45">
      <c r="A34" s="28"/>
      <c r="AU34" s="1">
        <v>32</v>
      </c>
      <c r="AV34" s="8">
        <f t="shared" si="0"/>
        <v>0</v>
      </c>
      <c r="AW34" s="8">
        <f t="shared" si="1"/>
        <v>0</v>
      </c>
      <c r="AX34" s="8">
        <f t="shared" si="2"/>
        <v>0</v>
      </c>
      <c r="AY34" s="8">
        <f t="shared" si="3"/>
        <v>0</v>
      </c>
      <c r="AZ34" s="8">
        <f t="shared" si="4"/>
        <v>0</v>
      </c>
      <c r="BB34" s="2">
        <v>-58</v>
      </c>
      <c r="BC34" s="8">
        <f t="shared" ref="BC34:BC65" si="9">COUNTIFS($T$71:$X$75,  "&gt;="&amp;$BB34, $T$71:$X$75,  "&lt;"&amp;($BB34+1)) / COUNT($T$71:$X$75)</f>
        <v>0</v>
      </c>
      <c r="BD34" s="8">
        <f t="shared" ref="BD34:BD65" si="10">COUNTIFS($Y$71:$AC$75,  "&gt;="&amp;$BB34, $Y$71:$AC$75,  "&lt;"&amp;($BB34+1)) / COUNT($Y$71:$AC$75)</f>
        <v>0</v>
      </c>
      <c r="BE34" s="8">
        <f t="shared" ref="BE34:BE65" si="11">COUNTIFS($T$76:$X$80,  "&gt;="&amp;$BB34, $T$76:$X$80,  "&lt;"&amp;($BB34+1)) / COUNT($T$76:$X$80)</f>
        <v>0</v>
      </c>
      <c r="BF34" s="8">
        <f t="shared" ref="BF34:BF65" si="12">COUNTIFS($Y$76:$AC$80,  "&gt;="&amp;$BB34, $Y$76:$AC$80,  "&lt;"&amp;($BB34+1)) / COUNT($Y$76:$AC$80)</f>
        <v>0</v>
      </c>
    </row>
    <row r="35" spans="1:58" x14ac:dyDescent="0.45">
      <c r="A35" s="28"/>
      <c r="AU35" s="1">
        <v>33</v>
      </c>
      <c r="AV35" s="8">
        <f t="shared" si="0"/>
        <v>0</v>
      </c>
      <c r="AW35" s="8">
        <f t="shared" si="1"/>
        <v>0</v>
      </c>
      <c r="AX35" s="8">
        <f t="shared" si="2"/>
        <v>0</v>
      </c>
      <c r="AY35" s="8">
        <f t="shared" si="3"/>
        <v>0</v>
      </c>
      <c r="AZ35" s="8">
        <f t="shared" si="4"/>
        <v>0</v>
      </c>
      <c r="BB35" s="2">
        <v>-57</v>
      </c>
      <c r="BC35" s="8">
        <f t="shared" si="9"/>
        <v>0</v>
      </c>
      <c r="BD35" s="8">
        <f t="shared" si="10"/>
        <v>0</v>
      </c>
      <c r="BE35" s="8">
        <f t="shared" si="11"/>
        <v>0</v>
      </c>
      <c r="BF35" s="8">
        <f t="shared" si="12"/>
        <v>0</v>
      </c>
    </row>
    <row r="36" spans="1:58" x14ac:dyDescent="0.45">
      <c r="A36" s="28"/>
      <c r="AU36" s="1">
        <v>34</v>
      </c>
      <c r="AV36" s="8">
        <f t="shared" si="0"/>
        <v>0</v>
      </c>
      <c r="AW36" s="8">
        <f t="shared" si="1"/>
        <v>0</v>
      </c>
      <c r="AX36" s="8">
        <f t="shared" si="2"/>
        <v>0</v>
      </c>
      <c r="AY36" s="8">
        <f t="shared" si="3"/>
        <v>0</v>
      </c>
      <c r="AZ36" s="8">
        <f t="shared" si="4"/>
        <v>0</v>
      </c>
      <c r="BB36" s="2">
        <v>-56</v>
      </c>
      <c r="BC36" s="8">
        <f t="shared" si="9"/>
        <v>0</v>
      </c>
      <c r="BD36" s="8">
        <f t="shared" si="10"/>
        <v>0</v>
      </c>
      <c r="BE36" s="8">
        <f t="shared" si="11"/>
        <v>0</v>
      </c>
      <c r="BF36" s="8">
        <f t="shared" si="12"/>
        <v>0</v>
      </c>
    </row>
    <row r="37" spans="1:58" x14ac:dyDescent="0.45">
      <c r="A37" s="28"/>
      <c r="AU37" s="1">
        <v>35</v>
      </c>
      <c r="AV37" s="8">
        <f t="shared" si="0"/>
        <v>0</v>
      </c>
      <c r="AW37" s="8">
        <f t="shared" si="1"/>
        <v>0</v>
      </c>
      <c r="AX37" s="8">
        <f t="shared" si="2"/>
        <v>0</v>
      </c>
      <c r="AY37" s="8">
        <f t="shared" si="3"/>
        <v>0</v>
      </c>
      <c r="AZ37" s="8">
        <f t="shared" si="4"/>
        <v>0</v>
      </c>
      <c r="BB37" s="2">
        <v>-55</v>
      </c>
      <c r="BC37" s="8">
        <f t="shared" si="9"/>
        <v>0</v>
      </c>
      <c r="BD37" s="8">
        <f t="shared" si="10"/>
        <v>0</v>
      </c>
      <c r="BE37" s="8">
        <f t="shared" si="11"/>
        <v>0</v>
      </c>
      <c r="BF37" s="8">
        <f t="shared" si="12"/>
        <v>0</v>
      </c>
    </row>
    <row r="38" spans="1:58" x14ac:dyDescent="0.45">
      <c r="A38" s="28"/>
      <c r="AU38" s="1">
        <v>36</v>
      </c>
      <c r="AV38" s="8">
        <f t="shared" si="0"/>
        <v>0</v>
      </c>
      <c r="AW38" s="8">
        <f t="shared" si="1"/>
        <v>0</v>
      </c>
      <c r="AX38" s="8">
        <f t="shared" si="2"/>
        <v>0</v>
      </c>
      <c r="AY38" s="8">
        <f t="shared" si="3"/>
        <v>0</v>
      </c>
      <c r="AZ38" s="8">
        <f t="shared" si="4"/>
        <v>0</v>
      </c>
      <c r="BB38" s="2">
        <v>-54</v>
      </c>
      <c r="BC38" s="8">
        <f t="shared" si="9"/>
        <v>0</v>
      </c>
      <c r="BD38" s="8">
        <f t="shared" si="10"/>
        <v>0</v>
      </c>
      <c r="BE38" s="8">
        <f t="shared" si="11"/>
        <v>0</v>
      </c>
      <c r="BF38" s="8">
        <f t="shared" si="12"/>
        <v>0</v>
      </c>
    </row>
    <row r="39" spans="1:58" x14ac:dyDescent="0.45">
      <c r="A39" s="28"/>
      <c r="AU39" s="1">
        <v>37</v>
      </c>
      <c r="AV39" s="8">
        <f t="shared" si="0"/>
        <v>0</v>
      </c>
      <c r="AW39" s="8">
        <f t="shared" si="1"/>
        <v>0</v>
      </c>
      <c r="AX39" s="8">
        <f t="shared" si="2"/>
        <v>0</v>
      </c>
      <c r="AY39" s="8">
        <f t="shared" si="3"/>
        <v>0</v>
      </c>
      <c r="AZ39" s="8">
        <f t="shared" si="4"/>
        <v>0</v>
      </c>
      <c r="BB39" s="2">
        <v>-53</v>
      </c>
      <c r="BC39" s="8">
        <f t="shared" si="9"/>
        <v>0</v>
      </c>
      <c r="BD39" s="8">
        <f t="shared" si="10"/>
        <v>0</v>
      </c>
      <c r="BE39" s="8">
        <f t="shared" si="11"/>
        <v>0</v>
      </c>
      <c r="BF39" s="8">
        <f t="shared" si="12"/>
        <v>0</v>
      </c>
    </row>
    <row r="40" spans="1:58" x14ac:dyDescent="0.45">
      <c r="A40" s="28"/>
      <c r="AU40" s="1">
        <v>38</v>
      </c>
      <c r="AV40" s="8">
        <f t="shared" si="0"/>
        <v>0</v>
      </c>
      <c r="AW40" s="8">
        <f t="shared" si="1"/>
        <v>0</v>
      </c>
      <c r="AX40" s="8">
        <f t="shared" si="2"/>
        <v>0</v>
      </c>
      <c r="AY40" s="8">
        <f t="shared" si="3"/>
        <v>0</v>
      </c>
      <c r="AZ40" s="8">
        <f t="shared" si="4"/>
        <v>0</v>
      </c>
      <c r="BB40" s="2">
        <v>-52</v>
      </c>
      <c r="BC40" s="8">
        <f t="shared" si="9"/>
        <v>0</v>
      </c>
      <c r="BD40" s="8">
        <f t="shared" si="10"/>
        <v>0</v>
      </c>
      <c r="BE40" s="8">
        <f t="shared" si="11"/>
        <v>0</v>
      </c>
      <c r="BF40" s="8">
        <f t="shared" si="12"/>
        <v>0</v>
      </c>
    </row>
    <row r="41" spans="1:58" x14ac:dyDescent="0.45">
      <c r="A41" s="28"/>
      <c r="AU41" s="1">
        <v>39</v>
      </c>
      <c r="AV41" s="8">
        <f t="shared" si="0"/>
        <v>0</v>
      </c>
      <c r="AW41" s="8">
        <f t="shared" si="1"/>
        <v>0</v>
      </c>
      <c r="AX41" s="8">
        <f t="shared" si="2"/>
        <v>0</v>
      </c>
      <c r="AY41" s="8">
        <f t="shared" si="3"/>
        <v>0</v>
      </c>
      <c r="AZ41" s="8">
        <f t="shared" si="4"/>
        <v>0</v>
      </c>
      <c r="BB41" s="2">
        <v>-51</v>
      </c>
      <c r="BC41" s="8">
        <f t="shared" si="9"/>
        <v>0</v>
      </c>
      <c r="BD41" s="8">
        <f t="shared" si="10"/>
        <v>0</v>
      </c>
      <c r="BE41" s="8">
        <f t="shared" si="11"/>
        <v>0</v>
      </c>
      <c r="BF41" s="8">
        <f t="shared" si="12"/>
        <v>0</v>
      </c>
    </row>
    <row r="42" spans="1:58" x14ac:dyDescent="0.45">
      <c r="A42" s="28"/>
      <c r="AU42" s="1">
        <v>40</v>
      </c>
      <c r="AV42" s="8">
        <f t="shared" si="0"/>
        <v>0</v>
      </c>
      <c r="AW42" s="8">
        <f t="shared" si="1"/>
        <v>0</v>
      </c>
      <c r="AX42" s="8">
        <f t="shared" si="2"/>
        <v>0</v>
      </c>
      <c r="AY42" s="8">
        <f t="shared" si="3"/>
        <v>0</v>
      </c>
      <c r="AZ42" s="8">
        <f t="shared" si="4"/>
        <v>0</v>
      </c>
      <c r="BB42" s="2">
        <v>-50</v>
      </c>
      <c r="BC42" s="8">
        <f t="shared" si="9"/>
        <v>0</v>
      </c>
      <c r="BD42" s="8">
        <f t="shared" si="10"/>
        <v>0</v>
      </c>
      <c r="BE42" s="8">
        <f t="shared" si="11"/>
        <v>0</v>
      </c>
      <c r="BF42" s="8">
        <f t="shared" si="12"/>
        <v>0</v>
      </c>
    </row>
    <row r="43" spans="1:58" x14ac:dyDescent="0.45">
      <c r="A43" s="28"/>
      <c r="AU43" s="1">
        <v>41</v>
      </c>
      <c r="AV43" s="8">
        <f t="shared" si="0"/>
        <v>0</v>
      </c>
      <c r="AW43" s="8">
        <f t="shared" si="1"/>
        <v>0</v>
      </c>
      <c r="AX43" s="8">
        <f t="shared" si="2"/>
        <v>0</v>
      </c>
      <c r="AY43" s="8">
        <f t="shared" si="3"/>
        <v>0</v>
      </c>
      <c r="AZ43" s="8">
        <f t="shared" si="4"/>
        <v>0</v>
      </c>
      <c r="BB43" s="2">
        <v>-49</v>
      </c>
      <c r="BC43" s="8">
        <f t="shared" si="9"/>
        <v>0</v>
      </c>
      <c r="BD43" s="8">
        <f t="shared" si="10"/>
        <v>0</v>
      </c>
      <c r="BE43" s="8">
        <f t="shared" si="11"/>
        <v>0</v>
      </c>
      <c r="BF43" s="8">
        <f t="shared" si="12"/>
        <v>0</v>
      </c>
    </row>
    <row r="44" spans="1:58" x14ac:dyDescent="0.45">
      <c r="A44" s="28"/>
      <c r="AU44" s="1">
        <v>42</v>
      </c>
      <c r="AV44" s="8">
        <f t="shared" si="0"/>
        <v>0</v>
      </c>
      <c r="AW44" s="8">
        <f t="shared" si="1"/>
        <v>0</v>
      </c>
      <c r="AX44" s="8">
        <f t="shared" si="2"/>
        <v>0</v>
      </c>
      <c r="AY44" s="8">
        <f t="shared" si="3"/>
        <v>0</v>
      </c>
      <c r="AZ44" s="8">
        <f t="shared" si="4"/>
        <v>0</v>
      </c>
      <c r="BB44" s="2">
        <v>-48</v>
      </c>
      <c r="BC44" s="8">
        <f t="shared" si="9"/>
        <v>0</v>
      </c>
      <c r="BD44" s="8">
        <f t="shared" si="10"/>
        <v>0</v>
      </c>
      <c r="BE44" s="8">
        <f t="shared" si="11"/>
        <v>0</v>
      </c>
      <c r="BF44" s="8">
        <f t="shared" si="12"/>
        <v>0</v>
      </c>
    </row>
    <row r="45" spans="1:58" x14ac:dyDescent="0.45">
      <c r="A45" s="28"/>
      <c r="AU45" s="1">
        <v>43</v>
      </c>
      <c r="AV45" s="8">
        <f t="shared" si="0"/>
        <v>0</v>
      </c>
      <c r="AW45" s="8">
        <f t="shared" si="1"/>
        <v>0</v>
      </c>
      <c r="AX45" s="8">
        <f t="shared" si="2"/>
        <v>0</v>
      </c>
      <c r="AY45" s="8">
        <f t="shared" si="3"/>
        <v>0</v>
      </c>
      <c r="AZ45" s="8">
        <f t="shared" si="4"/>
        <v>0</v>
      </c>
      <c r="BB45" s="2">
        <v>-47</v>
      </c>
      <c r="BC45" s="8">
        <f t="shared" si="9"/>
        <v>0</v>
      </c>
      <c r="BD45" s="8">
        <f t="shared" si="10"/>
        <v>0</v>
      </c>
      <c r="BE45" s="8">
        <f t="shared" si="11"/>
        <v>0</v>
      </c>
      <c r="BF45" s="8">
        <f t="shared" si="12"/>
        <v>0</v>
      </c>
    </row>
    <row r="46" spans="1:58" x14ac:dyDescent="0.45">
      <c r="A46" s="28"/>
      <c r="AU46" s="1">
        <v>44</v>
      </c>
      <c r="AV46" s="8">
        <f t="shared" si="0"/>
        <v>0</v>
      </c>
      <c r="AW46" s="8">
        <f t="shared" si="1"/>
        <v>0</v>
      </c>
      <c r="AX46" s="8">
        <f t="shared" si="2"/>
        <v>0</v>
      </c>
      <c r="AY46" s="8">
        <f t="shared" si="3"/>
        <v>0</v>
      </c>
      <c r="AZ46" s="8">
        <f t="shared" si="4"/>
        <v>0</v>
      </c>
      <c r="BB46" s="2">
        <v>-46</v>
      </c>
      <c r="BC46" s="8">
        <f t="shared" si="9"/>
        <v>0</v>
      </c>
      <c r="BD46" s="8">
        <f t="shared" si="10"/>
        <v>0</v>
      </c>
      <c r="BE46" s="8">
        <f t="shared" si="11"/>
        <v>0</v>
      </c>
      <c r="BF46" s="8">
        <f t="shared" si="12"/>
        <v>0</v>
      </c>
    </row>
    <row r="47" spans="1:58" x14ac:dyDescent="0.45">
      <c r="A47" s="28"/>
      <c r="AU47" s="1">
        <v>45</v>
      </c>
      <c r="AV47" s="8">
        <f t="shared" si="0"/>
        <v>0</v>
      </c>
      <c r="AW47" s="8">
        <f t="shared" si="1"/>
        <v>0</v>
      </c>
      <c r="AX47" s="8">
        <f t="shared" si="2"/>
        <v>0</v>
      </c>
      <c r="AY47" s="8">
        <f t="shared" si="3"/>
        <v>0</v>
      </c>
      <c r="AZ47" s="8">
        <f t="shared" si="4"/>
        <v>0</v>
      </c>
      <c r="BB47" s="2">
        <v>-45</v>
      </c>
      <c r="BC47" s="8">
        <f t="shared" si="9"/>
        <v>0.1111111111111111</v>
      </c>
      <c r="BD47" s="8">
        <f t="shared" si="10"/>
        <v>0</v>
      </c>
      <c r="BE47" s="8">
        <f t="shared" si="11"/>
        <v>6.25E-2</v>
      </c>
      <c r="BF47" s="8">
        <f t="shared" si="12"/>
        <v>6.25E-2</v>
      </c>
    </row>
    <row r="48" spans="1:58" x14ac:dyDescent="0.45">
      <c r="A48" s="28"/>
      <c r="AU48" s="1">
        <v>46</v>
      </c>
      <c r="AV48" s="8">
        <f t="shared" si="0"/>
        <v>0</v>
      </c>
      <c r="AW48" s="8">
        <f t="shared" si="1"/>
        <v>0</v>
      </c>
      <c r="AX48" s="8">
        <f t="shared" si="2"/>
        <v>0</v>
      </c>
      <c r="AY48" s="8">
        <f t="shared" si="3"/>
        <v>0</v>
      </c>
      <c r="AZ48" s="8">
        <f t="shared" si="4"/>
        <v>0</v>
      </c>
      <c r="BB48" s="2">
        <v>-44</v>
      </c>
      <c r="BC48" s="8">
        <f t="shared" si="9"/>
        <v>0</v>
      </c>
      <c r="BD48" s="8">
        <f t="shared" si="10"/>
        <v>0</v>
      </c>
      <c r="BE48" s="8">
        <f t="shared" si="11"/>
        <v>0</v>
      </c>
      <c r="BF48" s="8">
        <f t="shared" si="12"/>
        <v>0</v>
      </c>
    </row>
    <row r="49" spans="1:58" x14ac:dyDescent="0.45">
      <c r="A49" s="28"/>
      <c r="AU49" s="1">
        <v>47</v>
      </c>
      <c r="AV49" s="8">
        <f t="shared" si="0"/>
        <v>0</v>
      </c>
      <c r="AW49" s="8">
        <f t="shared" si="1"/>
        <v>0</v>
      </c>
      <c r="AX49" s="8">
        <f t="shared" si="2"/>
        <v>0</v>
      </c>
      <c r="AY49" s="8">
        <f t="shared" si="3"/>
        <v>0</v>
      </c>
      <c r="AZ49" s="8">
        <f t="shared" si="4"/>
        <v>0</v>
      </c>
      <c r="BB49" s="2">
        <v>-43</v>
      </c>
      <c r="BC49" s="8">
        <f t="shared" si="9"/>
        <v>0</v>
      </c>
      <c r="BD49" s="8">
        <f t="shared" si="10"/>
        <v>0</v>
      </c>
      <c r="BE49" s="8">
        <f t="shared" si="11"/>
        <v>0</v>
      </c>
      <c r="BF49" s="8">
        <f t="shared" si="12"/>
        <v>0</v>
      </c>
    </row>
    <row r="50" spans="1:58" x14ac:dyDescent="0.45">
      <c r="B50"/>
      <c r="C50"/>
      <c r="D50"/>
      <c r="E50"/>
      <c r="F50"/>
      <c r="G50"/>
      <c r="S50" s="1"/>
      <c r="AU50" s="1">
        <v>48</v>
      </c>
      <c r="AV50" s="8">
        <f t="shared" si="0"/>
        <v>0</v>
      </c>
      <c r="AW50" s="8">
        <f t="shared" si="1"/>
        <v>0</v>
      </c>
      <c r="AX50" s="8">
        <f t="shared" si="2"/>
        <v>0</v>
      </c>
      <c r="AY50" s="8">
        <f t="shared" si="3"/>
        <v>0</v>
      </c>
      <c r="AZ50" s="8">
        <f t="shared" si="4"/>
        <v>0</v>
      </c>
      <c r="BB50" s="2">
        <v>-42</v>
      </c>
      <c r="BC50" s="8">
        <f t="shared" si="9"/>
        <v>0</v>
      </c>
      <c r="BD50" s="8">
        <f t="shared" si="10"/>
        <v>0</v>
      </c>
      <c r="BE50" s="8">
        <f t="shared" si="11"/>
        <v>0</v>
      </c>
      <c r="BF50" s="8">
        <f t="shared" si="12"/>
        <v>0</v>
      </c>
    </row>
    <row r="51" spans="1:58" x14ac:dyDescent="0.45">
      <c r="B51"/>
      <c r="C51"/>
      <c r="D51"/>
      <c r="E51"/>
      <c r="F51"/>
      <c r="G51"/>
      <c r="S51" s="9"/>
      <c r="AU51" s="1">
        <v>49</v>
      </c>
      <c r="AV51" s="8">
        <f t="shared" si="0"/>
        <v>0</v>
      </c>
      <c r="AW51" s="8">
        <f t="shared" si="1"/>
        <v>0</v>
      </c>
      <c r="AX51" s="8">
        <f t="shared" si="2"/>
        <v>0</v>
      </c>
      <c r="AY51" s="8">
        <f t="shared" si="3"/>
        <v>0</v>
      </c>
      <c r="AZ51" s="8">
        <f t="shared" si="4"/>
        <v>0</v>
      </c>
      <c r="BB51" s="2">
        <v>-41</v>
      </c>
      <c r="BC51" s="8">
        <f t="shared" si="9"/>
        <v>0</v>
      </c>
      <c r="BD51" s="8">
        <f t="shared" si="10"/>
        <v>0</v>
      </c>
      <c r="BE51" s="8">
        <f t="shared" si="11"/>
        <v>0</v>
      </c>
      <c r="BF51" s="8">
        <f t="shared" si="12"/>
        <v>0</v>
      </c>
    </row>
    <row r="52" spans="1:58" x14ac:dyDescent="0.45">
      <c r="B52"/>
      <c r="C52"/>
      <c r="D52"/>
      <c r="E52"/>
      <c r="F52"/>
      <c r="G52"/>
      <c r="S52" s="9"/>
      <c r="AU52" s="1">
        <v>50</v>
      </c>
      <c r="AV52" s="8">
        <f t="shared" si="0"/>
        <v>0</v>
      </c>
      <c r="AW52" s="8">
        <f t="shared" si="1"/>
        <v>0</v>
      </c>
      <c r="AX52" s="8">
        <f t="shared" si="2"/>
        <v>0</v>
      </c>
      <c r="AY52" s="8">
        <f t="shared" si="3"/>
        <v>0</v>
      </c>
      <c r="AZ52" s="8">
        <f t="shared" si="4"/>
        <v>0</v>
      </c>
      <c r="BB52" s="2">
        <v>-40</v>
      </c>
      <c r="BC52" s="8">
        <f t="shared" si="9"/>
        <v>0</v>
      </c>
      <c r="BD52" s="8">
        <f t="shared" si="10"/>
        <v>0</v>
      </c>
      <c r="BE52" s="8">
        <f t="shared" si="11"/>
        <v>0</v>
      </c>
      <c r="BF52" s="8">
        <f t="shared" si="12"/>
        <v>0</v>
      </c>
    </row>
    <row r="53" spans="1:58" x14ac:dyDescent="0.45">
      <c r="A53" s="28" t="s">
        <v>23</v>
      </c>
      <c r="B53"/>
      <c r="C53"/>
      <c r="D53"/>
      <c r="E53"/>
      <c r="F53"/>
      <c r="G53"/>
      <c r="S53" s="9"/>
      <c r="T53" s="27" t="s">
        <v>19</v>
      </c>
      <c r="U53" s="27"/>
      <c r="V53" s="27"/>
      <c r="W53" s="27"/>
      <c r="X53" s="27"/>
      <c r="Y53" s="27"/>
      <c r="Z53" s="27"/>
      <c r="AA53" s="27"/>
      <c r="AB53" s="27"/>
      <c r="AC53" s="27"/>
      <c r="AE53" s="27" t="s">
        <v>18</v>
      </c>
      <c r="AF53" s="27"/>
      <c r="AG53" s="27"/>
      <c r="AH53" s="27"/>
      <c r="AI53" s="27"/>
      <c r="AJ53" s="27"/>
      <c r="AK53" s="27"/>
      <c r="AL53" s="27"/>
      <c r="AM53" s="27"/>
      <c r="AN53" s="27"/>
      <c r="AU53" s="1">
        <v>51</v>
      </c>
      <c r="AV53" s="8">
        <f t="shared" si="0"/>
        <v>0</v>
      </c>
      <c r="AW53" s="8">
        <f t="shared" si="1"/>
        <v>0</v>
      </c>
      <c r="AX53" s="8">
        <f t="shared" si="2"/>
        <v>0</v>
      </c>
      <c r="AY53" s="8">
        <f t="shared" si="3"/>
        <v>0</v>
      </c>
      <c r="AZ53" s="8">
        <f t="shared" si="4"/>
        <v>0</v>
      </c>
      <c r="BB53" s="2">
        <v>-39</v>
      </c>
      <c r="BC53" s="8">
        <f t="shared" si="9"/>
        <v>0</v>
      </c>
      <c r="BD53" s="8">
        <f t="shared" si="10"/>
        <v>0</v>
      </c>
      <c r="BE53" s="8">
        <f t="shared" si="11"/>
        <v>0</v>
      </c>
      <c r="BF53" s="8">
        <f t="shared" si="12"/>
        <v>0</v>
      </c>
    </row>
    <row r="54" spans="1:58" x14ac:dyDescent="0.45">
      <c r="A54" s="28"/>
      <c r="B54"/>
      <c r="C54"/>
      <c r="D54"/>
      <c r="E54"/>
      <c r="F54"/>
      <c r="G54"/>
      <c r="S54" s="9"/>
      <c r="T54" s="6">
        <f t="shared" ref="T54:AC54" si="13">SUMPRODUCT($X$66:$Z$68, S2:U4)</f>
        <v>0</v>
      </c>
      <c r="U54" s="6">
        <f t="shared" si="13"/>
        <v>0</v>
      </c>
      <c r="V54" s="6">
        <f t="shared" si="13"/>
        <v>0</v>
      </c>
      <c r="W54" s="6">
        <f t="shared" si="13"/>
        <v>0</v>
      </c>
      <c r="X54" s="6">
        <f t="shared" si="13"/>
        <v>-384</v>
      </c>
      <c r="Y54" s="6">
        <f t="shared" si="13"/>
        <v>-384</v>
      </c>
      <c r="Z54" s="6">
        <f t="shared" si="13"/>
        <v>0</v>
      </c>
      <c r="AA54" s="6">
        <f t="shared" si="13"/>
        <v>255</v>
      </c>
      <c r="AB54" s="6">
        <f t="shared" si="13"/>
        <v>510</v>
      </c>
      <c r="AC54" s="6">
        <f t="shared" si="13"/>
        <v>510</v>
      </c>
      <c r="AE54" s="6">
        <f t="shared" ref="AE54:AE63" si="14">SUMPRODUCT($AH$66:$AJ$68, S2:U4)</f>
        <v>0</v>
      </c>
      <c r="AF54" s="6">
        <f t="shared" ref="AF54:AF63" si="15">SUMPRODUCT($AH$66:$AJ$68, T2:V4)</f>
        <v>0</v>
      </c>
      <c r="AG54" s="6">
        <f t="shared" ref="AG54:AG63" si="16">SUMPRODUCT($AH$66:$AJ$68, U2:W4)</f>
        <v>0</v>
      </c>
      <c r="AH54" s="6">
        <f t="shared" ref="AH54:AH63" si="17">SUMPRODUCT($AH$66:$AJ$68, V2:X4)</f>
        <v>0</v>
      </c>
      <c r="AI54" s="6">
        <f t="shared" ref="AI54:AI63" si="18">SUMPRODUCT($AH$66:$AJ$68, W2:Y4)</f>
        <v>0</v>
      </c>
      <c r="AJ54" s="6">
        <f t="shared" ref="AJ54:AJ63" si="19">SUMPRODUCT($AH$66:$AJ$68, X2:Z4)</f>
        <v>0</v>
      </c>
      <c r="AK54" s="6">
        <f t="shared" ref="AK54:AK63" si="20">SUMPRODUCT($AH$66:$AJ$68, Y2:AA4)</f>
        <v>0</v>
      </c>
      <c r="AL54" s="6">
        <f t="shared" ref="AL54:AL63" si="21">SUMPRODUCT($AH$66:$AJ$68, Z2:AB4)</f>
        <v>255</v>
      </c>
      <c r="AM54" s="6">
        <f t="shared" ref="AM54:AM63" si="22">SUMPRODUCT($AH$66:$AJ$68, AA2:AC4)</f>
        <v>510</v>
      </c>
      <c r="AN54" s="6">
        <f t="shared" ref="AN54:AN63" si="23">SUMPRODUCT($AH$66:$AJ$68, AB2:AD4)</f>
        <v>510</v>
      </c>
      <c r="AU54" s="1">
        <v>52</v>
      </c>
      <c r="AV54" s="8">
        <f t="shared" si="0"/>
        <v>0</v>
      </c>
      <c r="AW54" s="8">
        <f t="shared" si="1"/>
        <v>0</v>
      </c>
      <c r="AX54" s="8">
        <f t="shared" si="2"/>
        <v>0</v>
      </c>
      <c r="AY54" s="8">
        <f t="shared" si="3"/>
        <v>0</v>
      </c>
      <c r="AZ54" s="8">
        <f t="shared" si="4"/>
        <v>0</v>
      </c>
      <c r="BB54" s="2">
        <v>-38</v>
      </c>
      <c r="BC54" s="8">
        <f t="shared" si="9"/>
        <v>0</v>
      </c>
      <c r="BD54" s="8">
        <f t="shared" si="10"/>
        <v>0</v>
      </c>
      <c r="BE54" s="8">
        <f t="shared" si="11"/>
        <v>0</v>
      </c>
      <c r="BF54" s="8">
        <f t="shared" si="12"/>
        <v>0</v>
      </c>
    </row>
    <row r="55" spans="1:58" x14ac:dyDescent="0.45">
      <c r="A55" s="28"/>
      <c r="B55"/>
      <c r="C55"/>
      <c r="D55"/>
      <c r="E55"/>
      <c r="F55"/>
      <c r="G55"/>
      <c r="S55" s="9"/>
      <c r="T55" s="6">
        <f t="shared" ref="T55:AC55" si="24">SUMPRODUCT($X$66:$Z$68, S3:U5)</f>
        <v>0</v>
      </c>
      <c r="U55" s="6">
        <f t="shared" si="24"/>
        <v>0</v>
      </c>
      <c r="V55" s="6">
        <f t="shared" si="24"/>
        <v>0</v>
      </c>
      <c r="W55" s="6">
        <f t="shared" si="24"/>
        <v>0</v>
      </c>
      <c r="X55" s="6">
        <f t="shared" si="24"/>
        <v>-384</v>
      </c>
      <c r="Y55" s="6">
        <f t="shared" si="24"/>
        <v>-384</v>
      </c>
      <c r="Z55" s="6">
        <f t="shared" si="24"/>
        <v>255</v>
      </c>
      <c r="AA55" s="6">
        <f t="shared" si="24"/>
        <v>510</v>
      </c>
      <c r="AB55" s="6">
        <f t="shared" si="24"/>
        <v>510</v>
      </c>
      <c r="AC55" s="6">
        <f t="shared" si="24"/>
        <v>255</v>
      </c>
      <c r="AE55" s="6">
        <f t="shared" si="14"/>
        <v>0</v>
      </c>
      <c r="AF55" s="6">
        <f t="shared" si="15"/>
        <v>0</v>
      </c>
      <c r="AG55" s="6">
        <f t="shared" si="16"/>
        <v>0</v>
      </c>
      <c r="AH55" s="6">
        <f t="shared" si="17"/>
        <v>0</v>
      </c>
      <c r="AI55" s="6">
        <f t="shared" si="18"/>
        <v>0</v>
      </c>
      <c r="AJ55" s="6">
        <f t="shared" si="19"/>
        <v>0</v>
      </c>
      <c r="AK55" s="6">
        <f t="shared" si="20"/>
        <v>255</v>
      </c>
      <c r="AL55" s="6">
        <f t="shared" si="21"/>
        <v>510</v>
      </c>
      <c r="AM55" s="6">
        <f t="shared" si="22"/>
        <v>510</v>
      </c>
      <c r="AN55" s="6">
        <f t="shared" si="23"/>
        <v>255</v>
      </c>
      <c r="AU55" s="1">
        <v>53</v>
      </c>
      <c r="AV55" s="8">
        <f t="shared" si="0"/>
        <v>0</v>
      </c>
      <c r="AW55" s="8">
        <f t="shared" si="1"/>
        <v>0</v>
      </c>
      <c r="AX55" s="8">
        <f t="shared" si="2"/>
        <v>0</v>
      </c>
      <c r="AY55" s="8">
        <f t="shared" si="3"/>
        <v>0</v>
      </c>
      <c r="AZ55" s="8">
        <f t="shared" si="4"/>
        <v>0</v>
      </c>
      <c r="BB55" s="2">
        <v>-37</v>
      </c>
      <c r="BC55" s="8">
        <f t="shared" si="9"/>
        <v>0</v>
      </c>
      <c r="BD55" s="8">
        <f t="shared" si="10"/>
        <v>0</v>
      </c>
      <c r="BE55" s="8">
        <f t="shared" si="11"/>
        <v>0</v>
      </c>
      <c r="BF55" s="8">
        <f t="shared" si="12"/>
        <v>0</v>
      </c>
    </row>
    <row r="56" spans="1:58" x14ac:dyDescent="0.45">
      <c r="A56" s="28"/>
      <c r="S56" s="9"/>
      <c r="T56" s="6">
        <f t="shared" ref="T56:AC56" si="25">SUMPRODUCT($X$66:$Z$68, S4:U6)</f>
        <v>0</v>
      </c>
      <c r="U56" s="6">
        <f t="shared" si="25"/>
        <v>0</v>
      </c>
      <c r="V56" s="6">
        <f t="shared" si="25"/>
        <v>0</v>
      </c>
      <c r="W56" s="6">
        <f t="shared" si="25"/>
        <v>0</v>
      </c>
      <c r="X56" s="6">
        <f t="shared" si="25"/>
        <v>-384</v>
      </c>
      <c r="Y56" s="6">
        <f t="shared" si="25"/>
        <v>-129</v>
      </c>
      <c r="Z56" s="6">
        <f t="shared" si="25"/>
        <v>510</v>
      </c>
      <c r="AA56" s="6">
        <f t="shared" si="25"/>
        <v>510</v>
      </c>
      <c r="AB56" s="6">
        <f t="shared" si="25"/>
        <v>255</v>
      </c>
      <c r="AC56" s="6">
        <f t="shared" si="25"/>
        <v>0</v>
      </c>
      <c r="AE56" s="6">
        <f t="shared" si="14"/>
        <v>0</v>
      </c>
      <c r="AF56" s="6">
        <f t="shared" si="15"/>
        <v>0</v>
      </c>
      <c r="AG56" s="6">
        <f t="shared" si="16"/>
        <v>0</v>
      </c>
      <c r="AH56" s="6">
        <f t="shared" si="17"/>
        <v>0</v>
      </c>
      <c r="AI56" s="6">
        <f t="shared" si="18"/>
        <v>0</v>
      </c>
      <c r="AJ56" s="6">
        <f t="shared" si="19"/>
        <v>255</v>
      </c>
      <c r="AK56" s="6">
        <f t="shared" si="20"/>
        <v>510</v>
      </c>
      <c r="AL56" s="6">
        <f t="shared" si="21"/>
        <v>510</v>
      </c>
      <c r="AM56" s="6">
        <f t="shared" si="22"/>
        <v>255</v>
      </c>
      <c r="AN56" s="6">
        <f t="shared" si="23"/>
        <v>0</v>
      </c>
      <c r="AU56" s="1">
        <v>54</v>
      </c>
      <c r="AV56" s="8">
        <f t="shared" si="0"/>
        <v>0</v>
      </c>
      <c r="AW56" s="8">
        <f t="shared" si="1"/>
        <v>0</v>
      </c>
      <c r="AX56" s="8">
        <f t="shared" si="2"/>
        <v>0</v>
      </c>
      <c r="AY56" s="8">
        <f t="shared" si="3"/>
        <v>0</v>
      </c>
      <c r="AZ56" s="8">
        <f t="shared" si="4"/>
        <v>0</v>
      </c>
      <c r="BB56" s="2">
        <v>-36</v>
      </c>
      <c r="BC56" s="8">
        <f t="shared" si="9"/>
        <v>0</v>
      </c>
      <c r="BD56" s="8">
        <f t="shared" si="10"/>
        <v>0</v>
      </c>
      <c r="BE56" s="8">
        <f t="shared" si="11"/>
        <v>0</v>
      </c>
      <c r="BF56" s="8">
        <f t="shared" si="12"/>
        <v>0</v>
      </c>
    </row>
    <row r="57" spans="1:58" x14ac:dyDescent="0.45">
      <c r="A57" s="28"/>
      <c r="S57" s="9"/>
      <c r="T57" s="6">
        <f t="shared" ref="T57:AC57" si="26">SUMPRODUCT($X$66:$Z$68, S5:U7)</f>
        <v>0</v>
      </c>
      <c r="U57" s="6">
        <f t="shared" si="26"/>
        <v>0</v>
      </c>
      <c r="V57" s="6">
        <f t="shared" si="26"/>
        <v>0</v>
      </c>
      <c r="W57" s="6">
        <f t="shared" si="26"/>
        <v>0</v>
      </c>
      <c r="X57" s="6">
        <f t="shared" si="26"/>
        <v>-129</v>
      </c>
      <c r="Y57" s="6">
        <f t="shared" si="26"/>
        <v>126</v>
      </c>
      <c r="Z57" s="6">
        <f t="shared" si="26"/>
        <v>510</v>
      </c>
      <c r="AA57" s="6">
        <f t="shared" si="26"/>
        <v>255</v>
      </c>
      <c r="AB57" s="6">
        <f t="shared" si="26"/>
        <v>0</v>
      </c>
      <c r="AC57" s="6">
        <f t="shared" si="26"/>
        <v>0</v>
      </c>
      <c r="AE57" s="6">
        <f t="shared" si="14"/>
        <v>0</v>
      </c>
      <c r="AF57" s="6">
        <f t="shared" si="15"/>
        <v>0</v>
      </c>
      <c r="AG57" s="6">
        <f t="shared" si="16"/>
        <v>0</v>
      </c>
      <c r="AH57" s="6">
        <f t="shared" si="17"/>
        <v>0</v>
      </c>
      <c r="AI57" s="6">
        <f t="shared" si="18"/>
        <v>255</v>
      </c>
      <c r="AJ57" s="6">
        <f t="shared" si="19"/>
        <v>510</v>
      </c>
      <c r="AK57" s="6">
        <f t="shared" si="20"/>
        <v>510</v>
      </c>
      <c r="AL57" s="6">
        <f t="shared" si="21"/>
        <v>255</v>
      </c>
      <c r="AM57" s="6">
        <f t="shared" si="22"/>
        <v>0</v>
      </c>
      <c r="AN57" s="6">
        <f t="shared" si="23"/>
        <v>0</v>
      </c>
      <c r="AU57" s="1">
        <v>55</v>
      </c>
      <c r="AV57" s="8">
        <f t="shared" si="0"/>
        <v>0</v>
      </c>
      <c r="AW57" s="8">
        <f t="shared" si="1"/>
        <v>0</v>
      </c>
      <c r="AX57" s="8">
        <f t="shared" si="2"/>
        <v>0</v>
      </c>
      <c r="AY57" s="8">
        <f t="shared" si="3"/>
        <v>0</v>
      </c>
      <c r="AZ57" s="8">
        <f t="shared" si="4"/>
        <v>0</v>
      </c>
      <c r="BB57" s="2">
        <v>-35</v>
      </c>
      <c r="BC57" s="8">
        <f t="shared" si="9"/>
        <v>0</v>
      </c>
      <c r="BD57" s="8">
        <f t="shared" si="10"/>
        <v>0</v>
      </c>
      <c r="BE57" s="8">
        <f t="shared" si="11"/>
        <v>0</v>
      </c>
      <c r="BF57" s="8">
        <f t="shared" si="12"/>
        <v>0</v>
      </c>
    </row>
    <row r="58" spans="1:58" x14ac:dyDescent="0.45">
      <c r="A58" s="28"/>
      <c r="S58" s="9"/>
      <c r="T58" s="6">
        <f t="shared" ref="T58:AC58" si="27">SUMPRODUCT($X$66:$Z$68, S6:U8)</f>
        <v>0</v>
      </c>
      <c r="U58" s="6">
        <f t="shared" si="27"/>
        <v>255</v>
      </c>
      <c r="V58" s="6">
        <f t="shared" si="27"/>
        <v>255</v>
      </c>
      <c r="W58" s="6">
        <f t="shared" si="27"/>
        <v>0</v>
      </c>
      <c r="X58" s="6">
        <f t="shared" si="27"/>
        <v>-256</v>
      </c>
      <c r="Y58" s="6">
        <f t="shared" si="27"/>
        <v>-1</v>
      </c>
      <c r="Z58" s="6">
        <f t="shared" si="27"/>
        <v>255</v>
      </c>
      <c r="AA58" s="6">
        <f t="shared" si="27"/>
        <v>0</v>
      </c>
      <c r="AB58" s="6">
        <f t="shared" si="27"/>
        <v>0</v>
      </c>
      <c r="AC58" s="6">
        <f t="shared" si="27"/>
        <v>0</v>
      </c>
      <c r="AE58" s="6">
        <f t="shared" si="14"/>
        <v>-384</v>
      </c>
      <c r="AF58" s="6">
        <f t="shared" si="15"/>
        <v>-129</v>
      </c>
      <c r="AG58" s="6">
        <f t="shared" si="16"/>
        <v>126</v>
      </c>
      <c r="AH58" s="6">
        <f t="shared" si="17"/>
        <v>381</v>
      </c>
      <c r="AI58" s="6">
        <f t="shared" si="18"/>
        <v>254</v>
      </c>
      <c r="AJ58" s="6">
        <f t="shared" si="19"/>
        <v>-128</v>
      </c>
      <c r="AK58" s="6">
        <f t="shared" si="20"/>
        <v>-510</v>
      </c>
      <c r="AL58" s="6">
        <f t="shared" si="21"/>
        <v>-765</v>
      </c>
      <c r="AM58" s="6">
        <f t="shared" si="22"/>
        <v>-765</v>
      </c>
      <c r="AN58" s="6">
        <f t="shared" si="23"/>
        <v>-765</v>
      </c>
      <c r="AU58" s="1">
        <v>56</v>
      </c>
      <c r="AV58" s="8">
        <f t="shared" si="0"/>
        <v>0</v>
      </c>
      <c r="AW58" s="8">
        <f t="shared" si="1"/>
        <v>0</v>
      </c>
      <c r="AX58" s="8">
        <f t="shared" si="2"/>
        <v>0</v>
      </c>
      <c r="AY58" s="8">
        <f t="shared" si="3"/>
        <v>0</v>
      </c>
      <c r="AZ58" s="8">
        <f t="shared" si="4"/>
        <v>0</v>
      </c>
      <c r="BB58" s="2">
        <v>-34</v>
      </c>
      <c r="BC58" s="8">
        <f t="shared" si="9"/>
        <v>0</v>
      </c>
      <c r="BD58" s="8">
        <f t="shared" si="10"/>
        <v>0</v>
      </c>
      <c r="BE58" s="8">
        <f t="shared" si="11"/>
        <v>0</v>
      </c>
      <c r="BF58" s="8">
        <f t="shared" si="12"/>
        <v>0</v>
      </c>
    </row>
    <row r="59" spans="1:58" x14ac:dyDescent="0.45">
      <c r="A59" s="28"/>
      <c r="S59" s="9"/>
      <c r="T59" s="6">
        <f t="shared" ref="T59:AC59" si="28">SUMPRODUCT($X$66:$Z$68, S7:U9)</f>
        <v>0</v>
      </c>
      <c r="U59" s="6">
        <f t="shared" si="28"/>
        <v>510</v>
      </c>
      <c r="V59" s="6">
        <f t="shared" si="28"/>
        <v>510</v>
      </c>
      <c r="W59" s="6">
        <f t="shared" si="28"/>
        <v>0</v>
      </c>
      <c r="X59" s="6">
        <f t="shared" si="28"/>
        <v>-383</v>
      </c>
      <c r="Y59" s="6">
        <f t="shared" si="28"/>
        <v>-383</v>
      </c>
      <c r="Z59" s="6">
        <f t="shared" si="28"/>
        <v>0</v>
      </c>
      <c r="AA59" s="6">
        <f t="shared" si="28"/>
        <v>0</v>
      </c>
      <c r="AB59" s="6">
        <f t="shared" si="28"/>
        <v>0</v>
      </c>
      <c r="AC59" s="6">
        <f t="shared" si="28"/>
        <v>0</v>
      </c>
      <c r="AE59" s="6">
        <f t="shared" si="14"/>
        <v>-384</v>
      </c>
      <c r="AF59" s="6">
        <f t="shared" si="15"/>
        <v>-129</v>
      </c>
      <c r="AG59" s="6">
        <f t="shared" si="16"/>
        <v>126</v>
      </c>
      <c r="AH59" s="6">
        <f t="shared" si="17"/>
        <v>381</v>
      </c>
      <c r="AI59" s="6">
        <f t="shared" si="18"/>
        <v>-1</v>
      </c>
      <c r="AJ59" s="6">
        <f t="shared" si="19"/>
        <v>-383</v>
      </c>
      <c r="AK59" s="6">
        <f t="shared" si="20"/>
        <v>-765</v>
      </c>
      <c r="AL59" s="6">
        <f t="shared" si="21"/>
        <v>-765</v>
      </c>
      <c r="AM59" s="6">
        <f t="shared" si="22"/>
        <v>-765</v>
      </c>
      <c r="AN59" s="6">
        <f t="shared" si="23"/>
        <v>-765</v>
      </c>
      <c r="AU59" s="1">
        <v>57</v>
      </c>
      <c r="AV59" s="8">
        <f t="shared" si="0"/>
        <v>0</v>
      </c>
      <c r="AW59" s="8">
        <f t="shared" si="1"/>
        <v>0</v>
      </c>
      <c r="AX59" s="8">
        <f t="shared" si="2"/>
        <v>0</v>
      </c>
      <c r="AY59" s="8">
        <f t="shared" si="3"/>
        <v>0</v>
      </c>
      <c r="AZ59" s="8">
        <f t="shared" si="4"/>
        <v>0</v>
      </c>
      <c r="BB59" s="2">
        <v>-33</v>
      </c>
      <c r="BC59" s="8">
        <f t="shared" si="9"/>
        <v>0</v>
      </c>
      <c r="BD59" s="8">
        <f t="shared" si="10"/>
        <v>0</v>
      </c>
      <c r="BE59" s="8">
        <f t="shared" si="11"/>
        <v>0</v>
      </c>
      <c r="BF59" s="8">
        <f t="shared" si="12"/>
        <v>0</v>
      </c>
    </row>
    <row r="60" spans="1:58" x14ac:dyDescent="0.45">
      <c r="A60" s="28"/>
      <c r="S60" s="9"/>
      <c r="T60" s="6">
        <f t="shared" ref="T60:AC60" si="29">SUMPRODUCT($X$66:$Z$68, S8:U10)</f>
        <v>0</v>
      </c>
      <c r="U60" s="6">
        <f t="shared" si="29"/>
        <v>765</v>
      </c>
      <c r="V60" s="6">
        <f t="shared" si="29"/>
        <v>765</v>
      </c>
      <c r="W60" s="6">
        <f t="shared" si="29"/>
        <v>0</v>
      </c>
      <c r="X60" s="6">
        <f t="shared" si="29"/>
        <v>-765</v>
      </c>
      <c r="Y60" s="6">
        <f t="shared" si="29"/>
        <v>-765</v>
      </c>
      <c r="Z60" s="6">
        <f t="shared" si="29"/>
        <v>0</v>
      </c>
      <c r="AA60" s="6">
        <f t="shared" si="29"/>
        <v>0</v>
      </c>
      <c r="AB60" s="6">
        <f t="shared" si="29"/>
        <v>0</v>
      </c>
      <c r="AC60" s="6">
        <f t="shared" si="29"/>
        <v>0</v>
      </c>
      <c r="AE60" s="6">
        <f t="shared" si="14"/>
        <v>0</v>
      </c>
      <c r="AF60" s="6">
        <f t="shared" si="15"/>
        <v>0</v>
      </c>
      <c r="AG60" s="6">
        <f t="shared" si="16"/>
        <v>0</v>
      </c>
      <c r="AH60" s="6">
        <f t="shared" si="17"/>
        <v>0</v>
      </c>
      <c r="AI60" s="6">
        <f t="shared" si="18"/>
        <v>0</v>
      </c>
      <c r="AJ60" s="6">
        <f t="shared" si="19"/>
        <v>0</v>
      </c>
      <c r="AK60" s="6">
        <f t="shared" si="20"/>
        <v>0</v>
      </c>
      <c r="AL60" s="6">
        <f t="shared" si="21"/>
        <v>0</v>
      </c>
      <c r="AM60" s="6">
        <f t="shared" si="22"/>
        <v>0</v>
      </c>
      <c r="AN60" s="6">
        <f t="shared" si="23"/>
        <v>0</v>
      </c>
      <c r="AU60" s="1">
        <v>58</v>
      </c>
      <c r="AV60" s="8">
        <f t="shared" si="0"/>
        <v>0</v>
      </c>
      <c r="AW60" s="8">
        <f t="shared" si="1"/>
        <v>0</v>
      </c>
      <c r="AX60" s="8">
        <f t="shared" si="2"/>
        <v>0</v>
      </c>
      <c r="AY60" s="8">
        <f t="shared" si="3"/>
        <v>0</v>
      </c>
      <c r="AZ60" s="8">
        <f t="shared" si="4"/>
        <v>0</v>
      </c>
      <c r="BB60" s="2">
        <v>-32</v>
      </c>
      <c r="BC60" s="8">
        <f t="shared" si="9"/>
        <v>0</v>
      </c>
      <c r="BD60" s="8">
        <f t="shared" si="10"/>
        <v>0</v>
      </c>
      <c r="BE60" s="8">
        <f t="shared" si="11"/>
        <v>0</v>
      </c>
      <c r="BF60" s="8">
        <f t="shared" si="12"/>
        <v>0</v>
      </c>
    </row>
    <row r="61" spans="1:58" x14ac:dyDescent="0.45">
      <c r="A61" s="28"/>
      <c r="S61" s="9"/>
      <c r="T61" s="6">
        <f t="shared" ref="T61:AC61" si="30">SUMPRODUCT($X$66:$Z$68, S9:U11)</f>
        <v>0</v>
      </c>
      <c r="U61" s="6">
        <f t="shared" si="30"/>
        <v>765</v>
      </c>
      <c r="V61" s="6">
        <f t="shared" si="30"/>
        <v>765</v>
      </c>
      <c r="W61" s="6">
        <f t="shared" si="30"/>
        <v>0</v>
      </c>
      <c r="X61" s="6">
        <f t="shared" si="30"/>
        <v>-510</v>
      </c>
      <c r="Y61" s="6">
        <f t="shared" si="30"/>
        <v>-510</v>
      </c>
      <c r="Z61" s="6">
        <f t="shared" si="30"/>
        <v>0</v>
      </c>
      <c r="AA61" s="6">
        <f t="shared" si="30"/>
        <v>0</v>
      </c>
      <c r="AB61" s="6">
        <f t="shared" si="30"/>
        <v>0</v>
      </c>
      <c r="AC61" s="6">
        <f t="shared" si="30"/>
        <v>0</v>
      </c>
      <c r="AE61" s="6">
        <f t="shared" si="14"/>
        <v>0</v>
      </c>
      <c r="AF61" s="6">
        <f t="shared" si="15"/>
        <v>0</v>
      </c>
      <c r="AG61" s="6">
        <f t="shared" si="16"/>
        <v>0</v>
      </c>
      <c r="AH61" s="6">
        <f t="shared" si="17"/>
        <v>0</v>
      </c>
      <c r="AI61" s="6">
        <f t="shared" si="18"/>
        <v>255</v>
      </c>
      <c r="AJ61" s="6">
        <f t="shared" si="19"/>
        <v>510</v>
      </c>
      <c r="AK61" s="6">
        <f t="shared" si="20"/>
        <v>765</v>
      </c>
      <c r="AL61" s="6">
        <f t="shared" si="21"/>
        <v>765</v>
      </c>
      <c r="AM61" s="6">
        <f t="shared" si="22"/>
        <v>765</v>
      </c>
      <c r="AN61" s="6">
        <f t="shared" si="23"/>
        <v>765</v>
      </c>
      <c r="AU61" s="1">
        <v>59</v>
      </c>
      <c r="AV61" s="8">
        <f t="shared" si="0"/>
        <v>0</v>
      </c>
      <c r="AW61" s="8">
        <f t="shared" si="1"/>
        <v>0</v>
      </c>
      <c r="AX61" s="8">
        <f t="shared" si="2"/>
        <v>0</v>
      </c>
      <c r="AY61" s="8">
        <f t="shared" si="3"/>
        <v>0</v>
      </c>
      <c r="AZ61" s="8">
        <f t="shared" si="4"/>
        <v>0</v>
      </c>
      <c r="BB61" s="2">
        <v>-31</v>
      </c>
      <c r="BC61" s="8">
        <f t="shared" si="9"/>
        <v>0</v>
      </c>
      <c r="BD61" s="8">
        <f t="shared" si="10"/>
        <v>0</v>
      </c>
      <c r="BE61" s="8">
        <f t="shared" si="11"/>
        <v>0</v>
      </c>
      <c r="BF61" s="8">
        <f t="shared" si="12"/>
        <v>0</v>
      </c>
    </row>
    <row r="62" spans="1:58" x14ac:dyDescent="0.45">
      <c r="A62" s="28"/>
      <c r="S62" s="9"/>
      <c r="T62" s="6">
        <f t="shared" ref="T62:AC62" si="31">SUMPRODUCT($X$66:$Z$68, S10:U12)</f>
        <v>0</v>
      </c>
      <c r="U62" s="6">
        <f t="shared" si="31"/>
        <v>765</v>
      </c>
      <c r="V62" s="6">
        <f t="shared" si="31"/>
        <v>765</v>
      </c>
      <c r="W62" s="6">
        <f t="shared" si="31"/>
        <v>0</v>
      </c>
      <c r="X62" s="6">
        <f t="shared" si="31"/>
        <v>-255</v>
      </c>
      <c r="Y62" s="6">
        <f t="shared" si="31"/>
        <v>-255</v>
      </c>
      <c r="Z62" s="6">
        <f t="shared" si="31"/>
        <v>0</v>
      </c>
      <c r="AA62" s="6">
        <f t="shared" si="31"/>
        <v>0</v>
      </c>
      <c r="AB62" s="6">
        <f t="shared" si="31"/>
        <v>0</v>
      </c>
      <c r="AC62" s="6">
        <f t="shared" si="31"/>
        <v>0</v>
      </c>
      <c r="AE62" s="6">
        <f t="shared" si="14"/>
        <v>0</v>
      </c>
      <c r="AF62" s="6">
        <f t="shared" si="15"/>
        <v>0</v>
      </c>
      <c r="AG62" s="6">
        <f t="shared" si="16"/>
        <v>0</v>
      </c>
      <c r="AH62" s="6">
        <f t="shared" si="17"/>
        <v>0</v>
      </c>
      <c r="AI62" s="6">
        <f t="shared" si="18"/>
        <v>255</v>
      </c>
      <c r="AJ62" s="6">
        <f t="shared" si="19"/>
        <v>510</v>
      </c>
      <c r="AK62" s="6">
        <f t="shared" si="20"/>
        <v>765</v>
      </c>
      <c r="AL62" s="6">
        <f t="shared" si="21"/>
        <v>765</v>
      </c>
      <c r="AM62" s="6">
        <f t="shared" si="22"/>
        <v>765</v>
      </c>
      <c r="AN62" s="6">
        <f t="shared" si="23"/>
        <v>765</v>
      </c>
      <c r="AU62" s="1">
        <v>60</v>
      </c>
      <c r="AV62" s="8">
        <f t="shared" si="0"/>
        <v>0</v>
      </c>
      <c r="AW62" s="8">
        <f t="shared" si="1"/>
        <v>0</v>
      </c>
      <c r="AX62" s="8">
        <f t="shared" si="2"/>
        <v>0</v>
      </c>
      <c r="AY62" s="8">
        <f t="shared" si="3"/>
        <v>0</v>
      </c>
      <c r="AZ62" s="8">
        <f t="shared" si="4"/>
        <v>0</v>
      </c>
      <c r="BB62" s="2">
        <v>-30</v>
      </c>
      <c r="BC62" s="8">
        <f t="shared" si="9"/>
        <v>0</v>
      </c>
      <c r="BD62" s="8">
        <f t="shared" si="10"/>
        <v>0</v>
      </c>
      <c r="BE62" s="8">
        <f t="shared" si="11"/>
        <v>0</v>
      </c>
      <c r="BF62" s="8">
        <f t="shared" si="12"/>
        <v>0</v>
      </c>
    </row>
    <row r="63" spans="1:58" x14ac:dyDescent="0.45">
      <c r="A63" s="28"/>
      <c r="S63" s="9"/>
      <c r="T63" s="6">
        <f t="shared" ref="T63:AC63" si="32">SUMPRODUCT($X$66:$Z$68, S11:U13)</f>
        <v>0</v>
      </c>
      <c r="U63" s="6">
        <f t="shared" si="32"/>
        <v>765</v>
      </c>
      <c r="V63" s="6">
        <f t="shared" si="32"/>
        <v>765</v>
      </c>
      <c r="W63" s="6">
        <f t="shared" si="32"/>
        <v>0</v>
      </c>
      <c r="X63" s="6">
        <f t="shared" si="32"/>
        <v>0</v>
      </c>
      <c r="Y63" s="6">
        <f t="shared" si="32"/>
        <v>0</v>
      </c>
      <c r="Z63" s="6">
        <f t="shared" si="32"/>
        <v>0</v>
      </c>
      <c r="AA63" s="6">
        <f t="shared" si="32"/>
        <v>0</v>
      </c>
      <c r="AB63" s="6">
        <f t="shared" si="32"/>
        <v>0</v>
      </c>
      <c r="AC63" s="6">
        <f t="shared" si="32"/>
        <v>0</v>
      </c>
      <c r="AE63" s="6">
        <f t="shared" si="14"/>
        <v>0</v>
      </c>
      <c r="AF63" s="6">
        <f t="shared" si="15"/>
        <v>0</v>
      </c>
      <c r="AG63" s="6">
        <f t="shared" si="16"/>
        <v>0</v>
      </c>
      <c r="AH63" s="6">
        <f t="shared" si="17"/>
        <v>0</v>
      </c>
      <c r="AI63" s="6">
        <f t="shared" si="18"/>
        <v>0</v>
      </c>
      <c r="AJ63" s="6">
        <f t="shared" si="19"/>
        <v>0</v>
      </c>
      <c r="AK63" s="6">
        <f t="shared" si="20"/>
        <v>0</v>
      </c>
      <c r="AL63" s="6">
        <f t="shared" si="21"/>
        <v>0</v>
      </c>
      <c r="AM63" s="6">
        <f t="shared" si="22"/>
        <v>0</v>
      </c>
      <c r="AN63" s="6">
        <f t="shared" si="23"/>
        <v>0</v>
      </c>
      <c r="AU63" s="1">
        <v>61</v>
      </c>
      <c r="AV63" s="8">
        <f t="shared" si="0"/>
        <v>0</v>
      </c>
      <c r="AW63" s="8">
        <f t="shared" si="1"/>
        <v>0</v>
      </c>
      <c r="AX63" s="8">
        <f t="shared" si="2"/>
        <v>0</v>
      </c>
      <c r="AY63" s="8">
        <f t="shared" si="3"/>
        <v>0</v>
      </c>
      <c r="AZ63" s="8">
        <f t="shared" si="4"/>
        <v>0</v>
      </c>
      <c r="BB63" s="2">
        <v>-29</v>
      </c>
      <c r="BC63" s="8">
        <f t="shared" si="9"/>
        <v>0</v>
      </c>
      <c r="BD63" s="8">
        <f t="shared" si="10"/>
        <v>0</v>
      </c>
      <c r="BE63" s="8">
        <f t="shared" si="11"/>
        <v>0</v>
      </c>
      <c r="BF63" s="8">
        <f t="shared" si="12"/>
        <v>0</v>
      </c>
    </row>
    <row r="64" spans="1:58" x14ac:dyDescent="0.45">
      <c r="A64" s="28"/>
      <c r="S64" s="9"/>
      <c r="T64" s="9"/>
      <c r="AU64" s="1">
        <v>62</v>
      </c>
      <c r="AV64" s="8">
        <f t="shared" si="0"/>
        <v>0</v>
      </c>
      <c r="AW64" s="8">
        <f t="shared" si="1"/>
        <v>0</v>
      </c>
      <c r="AX64" s="8">
        <f t="shared" si="2"/>
        <v>0</v>
      </c>
      <c r="AY64" s="8">
        <f t="shared" si="3"/>
        <v>0</v>
      </c>
      <c r="AZ64" s="8">
        <f t="shared" si="4"/>
        <v>0</v>
      </c>
      <c r="BB64" s="2">
        <v>-28</v>
      </c>
      <c r="BC64" s="8">
        <f t="shared" si="9"/>
        <v>0</v>
      </c>
      <c r="BD64" s="8">
        <f t="shared" si="10"/>
        <v>0</v>
      </c>
      <c r="BE64" s="8">
        <f t="shared" si="11"/>
        <v>0</v>
      </c>
      <c r="BF64" s="8">
        <f t="shared" si="12"/>
        <v>0</v>
      </c>
    </row>
    <row r="65" spans="1:58" x14ac:dyDescent="0.45">
      <c r="A65" s="28"/>
      <c r="S65" s="9"/>
      <c r="X65" s="27" t="s">
        <v>16</v>
      </c>
      <c r="Y65" s="27"/>
      <c r="Z65" s="27"/>
      <c r="AH65" s="27" t="s">
        <v>17</v>
      </c>
      <c r="AI65" s="27"/>
      <c r="AJ65" s="27"/>
      <c r="AU65" s="1">
        <v>63</v>
      </c>
      <c r="AV65" s="8">
        <f t="shared" si="0"/>
        <v>0</v>
      </c>
      <c r="AW65" s="8">
        <f t="shared" si="1"/>
        <v>0</v>
      </c>
      <c r="AX65" s="8">
        <f t="shared" si="2"/>
        <v>0</v>
      </c>
      <c r="AY65" s="8">
        <f t="shared" si="3"/>
        <v>0</v>
      </c>
      <c r="AZ65" s="8">
        <f t="shared" si="4"/>
        <v>0</v>
      </c>
      <c r="BB65" s="2">
        <v>-27</v>
      </c>
      <c r="BC65" s="8">
        <f t="shared" si="9"/>
        <v>0.1111111111111111</v>
      </c>
      <c r="BD65" s="8">
        <f t="shared" si="10"/>
        <v>0</v>
      </c>
      <c r="BE65" s="8">
        <f t="shared" si="11"/>
        <v>6.25E-2</v>
      </c>
      <c r="BF65" s="8">
        <f t="shared" si="12"/>
        <v>0</v>
      </c>
    </row>
    <row r="66" spans="1:58" x14ac:dyDescent="0.45">
      <c r="A66" s="28"/>
      <c r="S66" s="9"/>
      <c r="X66" s="6">
        <v>-1</v>
      </c>
      <c r="Y66" s="6">
        <v>0</v>
      </c>
      <c r="Z66" s="6">
        <v>1</v>
      </c>
      <c r="AH66" s="6">
        <v>-1</v>
      </c>
      <c r="AI66" s="6">
        <v>-1</v>
      </c>
      <c r="AJ66" s="6">
        <v>-1</v>
      </c>
      <c r="AU66" s="1">
        <v>64</v>
      </c>
      <c r="AV66" s="8">
        <f t="shared" ref="AV66:AV129" si="33">COUNTIF($S$2:$AD$13,  $AU66)/(12*12)</f>
        <v>0</v>
      </c>
      <c r="AW66" s="8">
        <f t="shared" ref="AW66:AW129" si="34">COUNTIF($S$2:$X$7,  $AU66)/(6*6)</f>
        <v>0</v>
      </c>
      <c r="AX66" s="8">
        <f t="shared" ref="AX66:AX129" si="35">COUNTIF($Y$2:$AD$7,  $AU66)/(6*6)</f>
        <v>0</v>
      </c>
      <c r="AY66" s="8">
        <f t="shared" ref="AY66:AY129" si="36">COUNTIF($S$8:$X$13,  $AU66)/(6*6)</f>
        <v>0</v>
      </c>
      <c r="AZ66" s="8">
        <f t="shared" ref="AZ66:AZ129" si="37">COUNTIF($Y$8:$AD$13,  $AU66)/(6*6)</f>
        <v>0</v>
      </c>
      <c r="BB66" s="2">
        <v>-26</v>
      </c>
      <c r="BC66" s="8">
        <f t="shared" ref="BC66:BC97" si="38">COUNTIFS($T$71:$X$75,  "&gt;="&amp;$BB66, $T$71:$X$75,  "&lt;"&amp;($BB66+1)) / COUNT($T$71:$X$75)</f>
        <v>0</v>
      </c>
      <c r="BD66" s="8">
        <f t="shared" ref="BD66:BD97" si="39">COUNTIFS($Y$71:$AC$75,  "&gt;="&amp;$BB66, $Y$71:$AC$75,  "&lt;"&amp;($BB66+1)) / COUNT($Y$71:$AC$75)</f>
        <v>0</v>
      </c>
      <c r="BE66" s="8">
        <f t="shared" ref="BE66:BE97" si="40">COUNTIFS($T$76:$X$80,  "&gt;="&amp;$BB66, $T$76:$X$80,  "&lt;"&amp;($BB66+1)) / COUNT($T$76:$X$80)</f>
        <v>0</v>
      </c>
      <c r="BF66" s="8">
        <f t="shared" ref="BF66:BF97" si="41">COUNTIFS($Y$76:$AC$80,  "&gt;="&amp;$BB66, $Y$76:$AC$80,  "&lt;"&amp;($BB66+1)) / COUNT($Y$76:$AC$80)</f>
        <v>0</v>
      </c>
    </row>
    <row r="67" spans="1:58" x14ac:dyDescent="0.45">
      <c r="A67" s="28"/>
      <c r="S67" s="9"/>
      <c r="X67" s="6">
        <v>-1</v>
      </c>
      <c r="Y67" s="6">
        <v>0</v>
      </c>
      <c r="Z67" s="6">
        <v>1</v>
      </c>
      <c r="AH67" s="6">
        <v>0</v>
      </c>
      <c r="AI67" s="6">
        <v>0</v>
      </c>
      <c r="AJ67" s="6">
        <v>0</v>
      </c>
      <c r="AU67" s="1">
        <v>65</v>
      </c>
      <c r="AV67" s="8">
        <f t="shared" si="33"/>
        <v>0</v>
      </c>
      <c r="AW67" s="8">
        <f t="shared" si="34"/>
        <v>0</v>
      </c>
      <c r="AX67" s="8">
        <f t="shared" si="35"/>
        <v>0</v>
      </c>
      <c r="AY67" s="8">
        <f t="shared" si="36"/>
        <v>0</v>
      </c>
      <c r="AZ67" s="8">
        <f t="shared" si="37"/>
        <v>0</v>
      </c>
      <c r="BB67" s="2">
        <v>-25</v>
      </c>
      <c r="BC67" s="8">
        <f t="shared" si="38"/>
        <v>0</v>
      </c>
      <c r="BD67" s="8">
        <f t="shared" si="39"/>
        <v>0</v>
      </c>
      <c r="BE67" s="8">
        <f t="shared" si="40"/>
        <v>0</v>
      </c>
      <c r="BF67" s="8">
        <f t="shared" si="41"/>
        <v>0</v>
      </c>
    </row>
    <row r="68" spans="1:58" x14ac:dyDescent="0.45">
      <c r="A68" s="28"/>
      <c r="S68" s="9"/>
      <c r="X68" s="6">
        <v>-1</v>
      </c>
      <c r="Y68" s="6">
        <v>0</v>
      </c>
      <c r="Z68" s="6">
        <v>1</v>
      </c>
      <c r="AH68" s="6">
        <v>1</v>
      </c>
      <c r="AI68" s="6">
        <v>1</v>
      </c>
      <c r="AJ68" s="6">
        <v>1</v>
      </c>
      <c r="AU68" s="1">
        <v>66</v>
      </c>
      <c r="AV68" s="8">
        <f t="shared" si="33"/>
        <v>0</v>
      </c>
      <c r="AW68" s="8">
        <f t="shared" si="34"/>
        <v>0</v>
      </c>
      <c r="AX68" s="8">
        <f t="shared" si="35"/>
        <v>0</v>
      </c>
      <c r="AY68" s="8">
        <f t="shared" si="36"/>
        <v>0</v>
      </c>
      <c r="AZ68" s="8">
        <f t="shared" si="37"/>
        <v>0</v>
      </c>
      <c r="BB68" s="2">
        <v>-24</v>
      </c>
      <c r="BC68" s="8">
        <f t="shared" si="38"/>
        <v>0</v>
      </c>
      <c r="BD68" s="8">
        <f t="shared" si="39"/>
        <v>0</v>
      </c>
      <c r="BE68" s="8">
        <f t="shared" si="40"/>
        <v>0</v>
      </c>
      <c r="BF68" s="8">
        <f t="shared" si="41"/>
        <v>0</v>
      </c>
    </row>
    <row r="69" spans="1:58" x14ac:dyDescent="0.45">
      <c r="A69" s="28"/>
      <c r="S69" s="9"/>
      <c r="AU69" s="1">
        <v>67</v>
      </c>
      <c r="AV69" s="8">
        <f t="shared" si="33"/>
        <v>0</v>
      </c>
      <c r="AW69" s="8">
        <f t="shared" si="34"/>
        <v>0</v>
      </c>
      <c r="AX69" s="8">
        <f t="shared" si="35"/>
        <v>0</v>
      </c>
      <c r="AY69" s="8">
        <f t="shared" si="36"/>
        <v>0</v>
      </c>
      <c r="AZ69" s="8">
        <f t="shared" si="37"/>
        <v>0</v>
      </c>
      <c r="BB69" s="2">
        <v>-23</v>
      </c>
      <c r="BC69" s="8">
        <f t="shared" si="38"/>
        <v>0</v>
      </c>
      <c r="BD69" s="8">
        <f t="shared" si="39"/>
        <v>0</v>
      </c>
      <c r="BE69" s="8">
        <f t="shared" si="40"/>
        <v>0</v>
      </c>
      <c r="BF69" s="8">
        <f t="shared" si="41"/>
        <v>0</v>
      </c>
    </row>
    <row r="70" spans="1:58" x14ac:dyDescent="0.45">
      <c r="A70" s="28"/>
      <c r="S70" s="9"/>
      <c r="T70" s="27" t="s">
        <v>24</v>
      </c>
      <c r="U70" s="27"/>
      <c r="V70" s="27"/>
      <c r="W70" s="27"/>
      <c r="X70" s="27"/>
      <c r="Y70" s="27"/>
      <c r="Z70" s="27"/>
      <c r="AA70" s="27"/>
      <c r="AB70" s="27"/>
      <c r="AC70" s="27"/>
      <c r="AU70" s="1">
        <v>68</v>
      </c>
      <c r="AV70" s="8">
        <f t="shared" si="33"/>
        <v>0</v>
      </c>
      <c r="AW70" s="8">
        <f t="shared" si="34"/>
        <v>0</v>
      </c>
      <c r="AX70" s="8">
        <f t="shared" si="35"/>
        <v>0</v>
      </c>
      <c r="AY70" s="8">
        <f t="shared" si="36"/>
        <v>0</v>
      </c>
      <c r="AZ70" s="8">
        <f t="shared" si="37"/>
        <v>0</v>
      </c>
      <c r="BB70" s="2">
        <v>-22</v>
      </c>
      <c r="BC70" s="8">
        <f t="shared" si="38"/>
        <v>0</v>
      </c>
      <c r="BD70" s="8">
        <f t="shared" si="39"/>
        <v>0</v>
      </c>
      <c r="BE70" s="8">
        <f t="shared" si="40"/>
        <v>0</v>
      </c>
      <c r="BF70" s="8">
        <f t="shared" si="41"/>
        <v>0</v>
      </c>
    </row>
    <row r="71" spans="1:58" x14ac:dyDescent="0.45">
      <c r="A71" s="28"/>
      <c r="S71" s="9"/>
      <c r="T71" s="9" t="e" cm="1">
        <f t="array" ref="T71">AnguloAjustado(T54,AE54)</f>
        <v>#VALUE!</v>
      </c>
      <c r="U71" s="9" t="e" cm="1">
        <f t="array" ref="U71">AnguloAjustado(U54,AF54)</f>
        <v>#VALUE!</v>
      </c>
      <c r="V71" s="9" t="e" cm="1">
        <f t="array" ref="V71">AnguloAjustado(V54,AG54)</f>
        <v>#VALUE!</v>
      </c>
      <c r="W71" s="9" t="e" cm="1">
        <f t="array" ref="W71">AnguloAjustado(W54,AH54)</f>
        <v>#VALUE!</v>
      </c>
      <c r="X71" s="9" cm="1">
        <f t="array" ref="X71">AnguloAjustado(X54,AI54)</f>
        <v>0</v>
      </c>
      <c r="Y71" s="9" cm="1">
        <f t="array" ref="Y71">AnguloAjustado(Y54,AJ54)</f>
        <v>0</v>
      </c>
      <c r="Z71" s="9" t="e" cm="1">
        <f t="array" ref="Z71">AnguloAjustado(Z54,AK54)</f>
        <v>#VALUE!</v>
      </c>
      <c r="AA71" s="9" cm="1">
        <f t="array" ref="AA71">AnguloAjustado(AA54,AL54)</f>
        <v>45</v>
      </c>
      <c r="AB71" s="9" cm="1">
        <f t="array" ref="AB71">AnguloAjustado(AB54,AM54)</f>
        <v>45</v>
      </c>
      <c r="AC71" s="9" cm="1">
        <f t="array" ref="AC71">AnguloAjustado(AC54,AN54)</f>
        <v>45</v>
      </c>
      <c r="AU71" s="1">
        <v>69</v>
      </c>
      <c r="AV71" s="8">
        <f t="shared" si="33"/>
        <v>0</v>
      </c>
      <c r="AW71" s="8">
        <f t="shared" si="34"/>
        <v>0</v>
      </c>
      <c r="AX71" s="8">
        <f t="shared" si="35"/>
        <v>0</v>
      </c>
      <c r="AY71" s="8">
        <f t="shared" si="36"/>
        <v>0</v>
      </c>
      <c r="AZ71" s="8">
        <f t="shared" si="37"/>
        <v>0</v>
      </c>
      <c r="BB71" s="2">
        <v>-21</v>
      </c>
      <c r="BC71" s="8">
        <f t="shared" si="38"/>
        <v>0</v>
      </c>
      <c r="BD71" s="8">
        <f t="shared" si="39"/>
        <v>0</v>
      </c>
      <c r="BE71" s="8">
        <f t="shared" si="40"/>
        <v>0</v>
      </c>
      <c r="BF71" s="8">
        <f t="shared" si="41"/>
        <v>0</v>
      </c>
    </row>
    <row r="72" spans="1:58" x14ac:dyDescent="0.45">
      <c r="A72" s="28"/>
      <c r="S72" s="9"/>
      <c r="T72" s="9" t="e" cm="1">
        <f t="array" ref="T72">AnguloAjustado(T55,AE55)</f>
        <v>#VALUE!</v>
      </c>
      <c r="U72" s="9" t="e" cm="1">
        <f t="array" ref="U72">AnguloAjustado(U55,AF55)</f>
        <v>#VALUE!</v>
      </c>
      <c r="V72" s="9" t="e" cm="1">
        <f t="array" ref="V72">AnguloAjustado(V55,AG55)</f>
        <v>#VALUE!</v>
      </c>
      <c r="W72" s="9" t="e" cm="1">
        <f t="array" ref="W72">AnguloAjustado(W55,AH55)</f>
        <v>#VALUE!</v>
      </c>
      <c r="X72" s="9" cm="1">
        <f t="array" ref="X72">AnguloAjustado(X55,AI55)</f>
        <v>0</v>
      </c>
      <c r="Y72" s="9" cm="1">
        <f t="array" ref="Y72">AnguloAjustado(Y55,AJ55)</f>
        <v>0</v>
      </c>
      <c r="Z72" s="9" cm="1">
        <f t="array" ref="Z72">AnguloAjustado(Z55,AK55)</f>
        <v>45</v>
      </c>
      <c r="AA72" s="9" cm="1">
        <f t="array" ref="AA72">AnguloAjustado(AA55,AL55)</f>
        <v>45</v>
      </c>
      <c r="AB72" s="9" cm="1">
        <f t="array" ref="AB72">AnguloAjustado(AB55,AM55)</f>
        <v>45</v>
      </c>
      <c r="AC72" s="9" cm="1">
        <f t="array" ref="AC72">AnguloAjustado(AC55,AN55)</f>
        <v>45</v>
      </c>
      <c r="AU72" s="1">
        <v>70</v>
      </c>
      <c r="AV72" s="8">
        <f t="shared" si="33"/>
        <v>0</v>
      </c>
      <c r="AW72" s="8">
        <f t="shared" si="34"/>
        <v>0</v>
      </c>
      <c r="AX72" s="8">
        <f t="shared" si="35"/>
        <v>0</v>
      </c>
      <c r="AY72" s="8">
        <f t="shared" si="36"/>
        <v>0</v>
      </c>
      <c r="AZ72" s="8">
        <f t="shared" si="37"/>
        <v>0</v>
      </c>
      <c r="BB72" s="2">
        <v>-20</v>
      </c>
      <c r="BC72" s="8">
        <f t="shared" si="38"/>
        <v>0</v>
      </c>
      <c r="BD72" s="8">
        <f t="shared" si="39"/>
        <v>0</v>
      </c>
      <c r="BE72" s="8">
        <f t="shared" si="40"/>
        <v>0</v>
      </c>
      <c r="BF72" s="8">
        <f t="shared" si="41"/>
        <v>0</v>
      </c>
    </row>
    <row r="73" spans="1:58" x14ac:dyDescent="0.45">
      <c r="A73" s="28"/>
      <c r="S73" s="9"/>
      <c r="T73" s="9" t="e" cm="1">
        <f t="array" ref="T73">AnguloAjustado(T56,AE56)</f>
        <v>#VALUE!</v>
      </c>
      <c r="U73" s="9" t="e" cm="1">
        <f t="array" ref="U73">AnguloAjustado(U56,AF56)</f>
        <v>#VALUE!</v>
      </c>
      <c r="V73" s="9" t="e" cm="1">
        <f t="array" ref="V73">AnguloAjustado(V56,AG56)</f>
        <v>#VALUE!</v>
      </c>
      <c r="W73" s="9" t="e" cm="1">
        <f t="array" ref="W73">AnguloAjustado(W56,AH56)</f>
        <v>#VALUE!</v>
      </c>
      <c r="X73" s="9" cm="1">
        <f t="array" ref="X73">AnguloAjustado(X56,AI56)</f>
        <v>0</v>
      </c>
      <c r="Y73" s="9" cm="1">
        <f t="array" ref="Y73">AnguloAjustado(Y56,AJ56)</f>
        <v>-63.165956529225554</v>
      </c>
      <c r="Z73" s="9" cm="1">
        <f t="array" ref="Z73">AnguloAjustado(Z56,AK56)</f>
        <v>45</v>
      </c>
      <c r="AA73" s="9" cm="1">
        <f t="array" ref="AA73">AnguloAjustado(AA56,AL56)</f>
        <v>45</v>
      </c>
      <c r="AB73" s="9" cm="1">
        <f t="array" ref="AB73">AnguloAjustado(AB56,AM56)</f>
        <v>45</v>
      </c>
      <c r="AC73" s="9" t="e" cm="1">
        <f t="array" ref="AC73">AnguloAjustado(AC56,AN56)</f>
        <v>#VALUE!</v>
      </c>
      <c r="AU73" s="1">
        <v>71</v>
      </c>
      <c r="AV73" s="8">
        <f t="shared" si="33"/>
        <v>0</v>
      </c>
      <c r="AW73" s="8">
        <f t="shared" si="34"/>
        <v>0</v>
      </c>
      <c r="AX73" s="8">
        <f t="shared" si="35"/>
        <v>0</v>
      </c>
      <c r="AY73" s="8">
        <f t="shared" si="36"/>
        <v>0</v>
      </c>
      <c r="AZ73" s="8">
        <f t="shared" si="37"/>
        <v>0</v>
      </c>
      <c r="BB73" s="2">
        <v>-19</v>
      </c>
      <c r="BC73" s="8">
        <f t="shared" si="38"/>
        <v>0</v>
      </c>
      <c r="BD73" s="8">
        <f t="shared" si="39"/>
        <v>0</v>
      </c>
      <c r="BE73" s="8">
        <f t="shared" si="40"/>
        <v>0</v>
      </c>
      <c r="BF73" s="8">
        <f t="shared" si="41"/>
        <v>0</v>
      </c>
    </row>
    <row r="74" spans="1:58" x14ac:dyDescent="0.45">
      <c r="A74" s="28"/>
      <c r="S74" s="9"/>
      <c r="T74" s="9" t="e" cm="1">
        <f t="array" ref="T74">AnguloAjustado(T57,AE57)</f>
        <v>#VALUE!</v>
      </c>
      <c r="U74" s="9" t="e" cm="1">
        <f t="array" ref="U74">AnguloAjustado(U57,AF57)</f>
        <v>#VALUE!</v>
      </c>
      <c r="V74" s="9" t="e" cm="1">
        <f t="array" ref="V74">AnguloAjustado(V57,AG57)</f>
        <v>#VALUE!</v>
      </c>
      <c r="W74" s="9" t="e" cm="1">
        <f t="array" ref="W74">AnguloAjustado(W57,AH57)</f>
        <v>#VALUE!</v>
      </c>
      <c r="X74" s="9" cm="1">
        <f t="array" ref="X74">AnguloAjustado(X57,AI57)</f>
        <v>-63.165956529225554</v>
      </c>
      <c r="Y74" s="9" cm="1">
        <f t="array" ref="Y74">AnguloAjustado(Y57,AJ57)</f>
        <v>76.122470196791994</v>
      </c>
      <c r="Z74" s="9" cm="1">
        <f t="array" ref="Z74">AnguloAjustado(Z57,AK57)</f>
        <v>45</v>
      </c>
      <c r="AA74" s="9" cm="1">
        <f t="array" ref="AA74">AnguloAjustado(AA57,AL57)</f>
        <v>45</v>
      </c>
      <c r="AB74" s="9" t="e" cm="1">
        <f t="array" ref="AB74">AnguloAjustado(AB57,AM57)</f>
        <v>#VALUE!</v>
      </c>
      <c r="AC74" s="9" t="e" cm="1">
        <f t="array" ref="AC74">AnguloAjustado(AC57,AN57)</f>
        <v>#VALUE!</v>
      </c>
      <c r="AU74" s="1">
        <v>72</v>
      </c>
      <c r="AV74" s="8">
        <f t="shared" si="33"/>
        <v>0</v>
      </c>
      <c r="AW74" s="8">
        <f t="shared" si="34"/>
        <v>0</v>
      </c>
      <c r="AX74" s="8">
        <f t="shared" si="35"/>
        <v>0</v>
      </c>
      <c r="AY74" s="8">
        <f t="shared" si="36"/>
        <v>0</v>
      </c>
      <c r="AZ74" s="8">
        <f t="shared" si="37"/>
        <v>0</v>
      </c>
      <c r="BB74" s="2">
        <v>-18</v>
      </c>
      <c r="BC74" s="8">
        <f t="shared" si="38"/>
        <v>0</v>
      </c>
      <c r="BD74" s="8">
        <f t="shared" si="39"/>
        <v>0</v>
      </c>
      <c r="BE74" s="8">
        <f t="shared" si="40"/>
        <v>0</v>
      </c>
      <c r="BF74" s="8">
        <f t="shared" si="41"/>
        <v>0</v>
      </c>
    </row>
    <row r="75" spans="1:58" x14ac:dyDescent="0.45">
      <c r="A75" s="28"/>
      <c r="S75" s="9"/>
      <c r="T75" s="9" cm="1">
        <f t="array" ref="T75">AnguloAjustado(T58,AE58)</f>
        <v>-90</v>
      </c>
      <c r="U75" s="9" cm="1">
        <f t="array" ref="U75">AnguloAjustado(U58,AF58)</f>
        <v>-26.834043470774471</v>
      </c>
      <c r="V75" s="9" cm="1">
        <f t="array" ref="V75">AnguloAjustado(V58,AG58)</f>
        <v>26.294790070583854</v>
      </c>
      <c r="W75" s="9" cm="1">
        <f t="array" ref="W75">AnguloAjustado(W58,AH58)</f>
        <v>90</v>
      </c>
      <c r="X75" s="9" cm="1">
        <f t="array" ref="X75">AnguloAjustado(X58,AI58)</f>
        <v>-44.775311820375492</v>
      </c>
      <c r="Y75" s="9" cm="1">
        <f t="array" ref="Y75">AnguloAjustado(Y58,AJ58)</f>
        <v>89.552385829139453</v>
      </c>
      <c r="Z75" s="9" cm="1">
        <f t="array" ref="Z75">AnguloAjustado(Z58,AK58)</f>
        <v>-63.43494882292201</v>
      </c>
      <c r="AA75" s="9" cm="1">
        <f t="array" ref="AA75">AnguloAjustado(AA58,AL58)</f>
        <v>-90</v>
      </c>
      <c r="AB75" s="9" cm="1">
        <f t="array" ref="AB75">AnguloAjustado(AB58,AM58)</f>
        <v>-90</v>
      </c>
      <c r="AC75" s="9" cm="1">
        <f t="array" ref="AC75">AnguloAjustado(AC58,AN58)</f>
        <v>-90</v>
      </c>
      <c r="AU75" s="1">
        <v>73</v>
      </c>
      <c r="AV75" s="8">
        <f t="shared" si="33"/>
        <v>0</v>
      </c>
      <c r="AW75" s="8">
        <f t="shared" si="34"/>
        <v>0</v>
      </c>
      <c r="AX75" s="8">
        <f t="shared" si="35"/>
        <v>0</v>
      </c>
      <c r="AY75" s="8">
        <f t="shared" si="36"/>
        <v>0</v>
      </c>
      <c r="AZ75" s="8">
        <f t="shared" si="37"/>
        <v>0</v>
      </c>
      <c r="BB75" s="2">
        <v>-17</v>
      </c>
      <c r="BC75" s="8">
        <f t="shared" si="38"/>
        <v>0</v>
      </c>
      <c r="BD75" s="8">
        <f t="shared" si="39"/>
        <v>0</v>
      </c>
      <c r="BE75" s="8">
        <f t="shared" si="40"/>
        <v>0</v>
      </c>
      <c r="BF75" s="8">
        <f t="shared" si="41"/>
        <v>0</v>
      </c>
    </row>
    <row r="76" spans="1:58" x14ac:dyDescent="0.45">
      <c r="A76" s="28"/>
      <c r="S76" s="9"/>
      <c r="T76" s="9" cm="1">
        <f t="array" ref="T76">AnguloAjustado(T59,AE59)</f>
        <v>-90</v>
      </c>
      <c r="U76" s="9" cm="1">
        <f t="array" ref="U76">AnguloAjustado(U59,AF59)</f>
        <v>-14.194737612790878</v>
      </c>
      <c r="V76" s="9" cm="1">
        <f t="array" ref="V76">AnguloAjustado(V59,AG59)</f>
        <v>13.877529803208008</v>
      </c>
      <c r="W76" s="9" cm="1">
        <f t="array" ref="W76">AnguloAjustado(W59,AH59)</f>
        <v>90</v>
      </c>
      <c r="X76" s="9" cm="1">
        <f t="array" ref="X76">AnguloAjustado(X59,AI59)</f>
        <v>0.14959699560250783</v>
      </c>
      <c r="Y76" s="9" cm="1">
        <f t="array" ref="Y76">AnguloAjustado(Y59,AJ59)</f>
        <v>45</v>
      </c>
      <c r="Z76" s="9" cm="1">
        <f t="array" ref="Z76">AnguloAjustado(Z59,AK59)</f>
        <v>-90</v>
      </c>
      <c r="AA76" s="9" cm="1">
        <f t="array" ref="AA76">AnguloAjustado(AA59,AL59)</f>
        <v>-90</v>
      </c>
      <c r="AB76" s="9" cm="1">
        <f t="array" ref="AB76">AnguloAjustado(AB59,AM59)</f>
        <v>-90</v>
      </c>
      <c r="AC76" s="9" cm="1">
        <f t="array" ref="AC76">AnguloAjustado(AC59,AN59)</f>
        <v>-90</v>
      </c>
      <c r="AU76" s="1">
        <v>74</v>
      </c>
      <c r="AV76" s="8">
        <f t="shared" si="33"/>
        <v>0</v>
      </c>
      <c r="AW76" s="8">
        <f t="shared" si="34"/>
        <v>0</v>
      </c>
      <c r="AX76" s="8">
        <f t="shared" si="35"/>
        <v>0</v>
      </c>
      <c r="AY76" s="8">
        <f t="shared" si="36"/>
        <v>0</v>
      </c>
      <c r="AZ76" s="8">
        <f t="shared" si="37"/>
        <v>0</v>
      </c>
      <c r="BB76" s="2">
        <v>-16</v>
      </c>
      <c r="BC76" s="8">
        <f t="shared" si="38"/>
        <v>0</v>
      </c>
      <c r="BD76" s="8">
        <f t="shared" si="39"/>
        <v>0</v>
      </c>
      <c r="BE76" s="8">
        <f t="shared" si="40"/>
        <v>0</v>
      </c>
      <c r="BF76" s="8">
        <f t="shared" si="41"/>
        <v>0</v>
      </c>
    </row>
    <row r="77" spans="1:58" x14ac:dyDescent="0.45">
      <c r="A77" s="28"/>
      <c r="S77" s="9"/>
      <c r="T77" s="9" t="e" cm="1">
        <f t="array" ref="T77">AnguloAjustado(T60,AE60)</f>
        <v>#VALUE!</v>
      </c>
      <c r="U77" s="9" cm="1">
        <f t="array" ref="U77">AnguloAjustado(U60,AF60)</f>
        <v>0</v>
      </c>
      <c r="V77" s="9" cm="1">
        <f t="array" ref="V77">AnguloAjustado(V60,AG60)</f>
        <v>0</v>
      </c>
      <c r="W77" s="9" t="e" cm="1">
        <f t="array" ref="W77">AnguloAjustado(W60,AH60)</f>
        <v>#VALUE!</v>
      </c>
      <c r="X77" s="9" cm="1">
        <f t="array" ref="X77">AnguloAjustado(X60,AI60)</f>
        <v>0</v>
      </c>
      <c r="Y77" s="9" cm="1">
        <f t="array" ref="Y77">AnguloAjustado(Y60,AJ60)</f>
        <v>0</v>
      </c>
      <c r="Z77" s="9" t="e" cm="1">
        <f t="array" ref="Z77">AnguloAjustado(Z60,AK60)</f>
        <v>#VALUE!</v>
      </c>
      <c r="AA77" s="9" t="e" cm="1">
        <f t="array" ref="AA77">AnguloAjustado(AA60,AL60)</f>
        <v>#VALUE!</v>
      </c>
      <c r="AB77" s="9" t="e" cm="1">
        <f t="array" ref="AB77">AnguloAjustado(AB60,AM60)</f>
        <v>#VALUE!</v>
      </c>
      <c r="AC77" s="9" t="e" cm="1">
        <f t="array" ref="AC77">AnguloAjustado(AC60,AN60)</f>
        <v>#VALUE!</v>
      </c>
      <c r="AU77" s="1">
        <v>75</v>
      </c>
      <c r="AV77" s="8">
        <f t="shared" si="33"/>
        <v>0</v>
      </c>
      <c r="AW77" s="8">
        <f t="shared" si="34"/>
        <v>0</v>
      </c>
      <c r="AX77" s="8">
        <f t="shared" si="35"/>
        <v>0</v>
      </c>
      <c r="AY77" s="8">
        <f t="shared" si="36"/>
        <v>0</v>
      </c>
      <c r="AZ77" s="8">
        <f t="shared" si="37"/>
        <v>0</v>
      </c>
      <c r="BB77" s="2">
        <v>-15</v>
      </c>
      <c r="BC77" s="8">
        <f t="shared" si="38"/>
        <v>0</v>
      </c>
      <c r="BD77" s="8">
        <f t="shared" si="39"/>
        <v>0</v>
      </c>
      <c r="BE77" s="8">
        <f t="shared" si="40"/>
        <v>6.25E-2</v>
      </c>
      <c r="BF77" s="8">
        <f t="shared" si="41"/>
        <v>0</v>
      </c>
    </row>
    <row r="78" spans="1:58" x14ac:dyDescent="0.45">
      <c r="A78" s="28"/>
      <c r="S78" s="9"/>
      <c r="T78" s="9" t="e" cm="1">
        <f t="array" ref="T78">AnguloAjustado(T61,AE61)</f>
        <v>#VALUE!</v>
      </c>
      <c r="U78" s="9" cm="1">
        <f t="array" ref="U78">AnguloAjustado(U61,AF61)</f>
        <v>0</v>
      </c>
      <c r="V78" s="9" cm="1">
        <f t="array" ref="V78">AnguloAjustado(V61,AG61)</f>
        <v>0</v>
      </c>
      <c r="W78" s="9" t="e" cm="1">
        <f t="array" ref="W78">AnguloAjustado(W61,AH61)</f>
        <v>#VALUE!</v>
      </c>
      <c r="X78" s="9" cm="1">
        <f t="array" ref="X78">AnguloAjustado(X61,AI61)</f>
        <v>-26.565051177078004</v>
      </c>
      <c r="Y78" s="9" cm="1">
        <f t="array" ref="Y78">AnguloAjustado(Y61,AJ61)</f>
        <v>-45</v>
      </c>
      <c r="Z78" s="9" cm="1">
        <f t="array" ref="Z78">AnguloAjustado(Z61,AK61)</f>
        <v>90</v>
      </c>
      <c r="AA78" s="9" cm="1">
        <f t="array" ref="AA78">AnguloAjustado(AA61,AL61)</f>
        <v>90</v>
      </c>
      <c r="AB78" s="9" cm="1">
        <f t="array" ref="AB78">AnguloAjustado(AB61,AM61)</f>
        <v>90</v>
      </c>
      <c r="AC78" s="9" cm="1">
        <f t="array" ref="AC78">AnguloAjustado(AC61,AN61)</f>
        <v>90</v>
      </c>
      <c r="AU78" s="1">
        <v>76</v>
      </c>
      <c r="AV78" s="8">
        <f t="shared" si="33"/>
        <v>0</v>
      </c>
      <c r="AW78" s="8">
        <f t="shared" si="34"/>
        <v>0</v>
      </c>
      <c r="AX78" s="8">
        <f t="shared" si="35"/>
        <v>0</v>
      </c>
      <c r="AY78" s="8">
        <f t="shared" si="36"/>
        <v>0</v>
      </c>
      <c r="AZ78" s="8">
        <f t="shared" si="37"/>
        <v>0</v>
      </c>
      <c r="BB78" s="2">
        <v>-14</v>
      </c>
      <c r="BC78" s="8">
        <f t="shared" si="38"/>
        <v>0</v>
      </c>
      <c r="BD78" s="8">
        <f t="shared" si="39"/>
        <v>0</v>
      </c>
      <c r="BE78" s="8">
        <f t="shared" si="40"/>
        <v>0</v>
      </c>
      <c r="BF78" s="8">
        <f t="shared" si="41"/>
        <v>0</v>
      </c>
    </row>
    <row r="79" spans="1:58" x14ac:dyDescent="0.45">
      <c r="A79" s="28"/>
      <c r="S79" s="9"/>
      <c r="T79" s="9" t="e" cm="1">
        <f t="array" ref="T79">AnguloAjustado(T62,AE62)</f>
        <v>#VALUE!</v>
      </c>
      <c r="U79" s="9" cm="1">
        <f t="array" ref="U79">AnguloAjustado(U62,AF62)</f>
        <v>0</v>
      </c>
      <c r="V79" s="9" cm="1">
        <f t="array" ref="V79">AnguloAjustado(V62,AG62)</f>
        <v>0</v>
      </c>
      <c r="W79" s="9" t="e" cm="1">
        <f t="array" ref="W79">AnguloAjustado(W62,AH62)</f>
        <v>#VALUE!</v>
      </c>
      <c r="X79" s="9" cm="1">
        <f t="array" ref="X79">AnguloAjustado(X62,AI62)</f>
        <v>-45</v>
      </c>
      <c r="Y79" s="9" cm="1">
        <f t="array" ref="Y79">AnguloAjustado(Y62,AJ62)</f>
        <v>-63.43494882292201</v>
      </c>
      <c r="Z79" s="9" cm="1">
        <f t="array" ref="Z79">AnguloAjustado(Z62,AK62)</f>
        <v>90</v>
      </c>
      <c r="AA79" s="9" cm="1">
        <f t="array" ref="AA79">AnguloAjustado(AA62,AL62)</f>
        <v>90</v>
      </c>
      <c r="AB79" s="9" cm="1">
        <f t="array" ref="AB79">AnguloAjustado(AB62,AM62)</f>
        <v>90</v>
      </c>
      <c r="AC79" s="9" cm="1">
        <f t="array" ref="AC79">AnguloAjustado(AC62,AN62)</f>
        <v>90</v>
      </c>
      <c r="AU79" s="1">
        <v>77</v>
      </c>
      <c r="AV79" s="8">
        <f t="shared" si="33"/>
        <v>0</v>
      </c>
      <c r="AW79" s="8">
        <f t="shared" si="34"/>
        <v>0</v>
      </c>
      <c r="AX79" s="8">
        <f t="shared" si="35"/>
        <v>0</v>
      </c>
      <c r="AY79" s="8">
        <f t="shared" si="36"/>
        <v>0</v>
      </c>
      <c r="AZ79" s="8">
        <f t="shared" si="37"/>
        <v>0</v>
      </c>
      <c r="BB79" s="2">
        <v>-13</v>
      </c>
      <c r="BC79" s="8">
        <f t="shared" si="38"/>
        <v>0</v>
      </c>
      <c r="BD79" s="8">
        <f t="shared" si="39"/>
        <v>0</v>
      </c>
      <c r="BE79" s="8">
        <f t="shared" si="40"/>
        <v>0</v>
      </c>
      <c r="BF79" s="8">
        <f t="shared" si="41"/>
        <v>0</v>
      </c>
    </row>
    <row r="80" spans="1:58" x14ac:dyDescent="0.45">
      <c r="A80" s="28"/>
      <c r="S80" s="9"/>
      <c r="T80" s="9" t="e" cm="1">
        <f t="array" ref="T80">AnguloAjustado(T63,AE63)</f>
        <v>#VALUE!</v>
      </c>
      <c r="U80" s="9" cm="1">
        <f t="array" ref="U80">AnguloAjustado(U63,AF63)</f>
        <v>0</v>
      </c>
      <c r="V80" s="9" cm="1">
        <f t="array" ref="V80">AnguloAjustado(V63,AG63)</f>
        <v>0</v>
      </c>
      <c r="W80" s="9" t="e" cm="1">
        <f t="array" ref="W80">AnguloAjustado(W63,AH63)</f>
        <v>#VALUE!</v>
      </c>
      <c r="X80" s="9" t="e" cm="1">
        <f t="array" ref="X80">AnguloAjustado(X63,AI63)</f>
        <v>#VALUE!</v>
      </c>
      <c r="Y80" s="9" t="e" cm="1">
        <f t="array" ref="Y80">AnguloAjustado(Y63,AJ63)</f>
        <v>#VALUE!</v>
      </c>
      <c r="Z80" s="9" t="e" cm="1">
        <f t="array" ref="Z80">AnguloAjustado(Z63,AK63)</f>
        <v>#VALUE!</v>
      </c>
      <c r="AA80" s="9" t="e" cm="1">
        <f t="array" ref="AA80">AnguloAjustado(AA63,AL63)</f>
        <v>#VALUE!</v>
      </c>
      <c r="AB80" s="9" t="e" cm="1">
        <f t="array" ref="AB80">AnguloAjustado(AB63,AM63)</f>
        <v>#VALUE!</v>
      </c>
      <c r="AC80" s="9" t="e" cm="1">
        <f t="array" ref="AC80">AnguloAjustado(AC63,AN63)</f>
        <v>#VALUE!</v>
      </c>
      <c r="AU80" s="1">
        <v>78</v>
      </c>
      <c r="AV80" s="8">
        <f t="shared" si="33"/>
        <v>0</v>
      </c>
      <c r="AW80" s="8">
        <f t="shared" si="34"/>
        <v>0</v>
      </c>
      <c r="AX80" s="8">
        <f t="shared" si="35"/>
        <v>0</v>
      </c>
      <c r="AY80" s="8">
        <f t="shared" si="36"/>
        <v>0</v>
      </c>
      <c r="AZ80" s="8">
        <f t="shared" si="37"/>
        <v>0</v>
      </c>
      <c r="BB80" s="2">
        <v>-12</v>
      </c>
      <c r="BC80" s="8">
        <f t="shared" si="38"/>
        <v>0</v>
      </c>
      <c r="BD80" s="8">
        <f t="shared" si="39"/>
        <v>0</v>
      </c>
      <c r="BE80" s="8">
        <f t="shared" si="40"/>
        <v>0</v>
      </c>
      <c r="BF80" s="8">
        <f t="shared" si="41"/>
        <v>0</v>
      </c>
    </row>
    <row r="81" spans="1:58" x14ac:dyDescent="0.45">
      <c r="A81" s="28"/>
      <c r="S81" s="9"/>
      <c r="AU81" s="1">
        <v>79</v>
      </c>
      <c r="AV81" s="8">
        <f t="shared" si="33"/>
        <v>0</v>
      </c>
      <c r="AW81" s="8">
        <f t="shared" si="34"/>
        <v>0</v>
      </c>
      <c r="AX81" s="8">
        <f t="shared" si="35"/>
        <v>0</v>
      </c>
      <c r="AY81" s="8">
        <f t="shared" si="36"/>
        <v>0</v>
      </c>
      <c r="AZ81" s="8">
        <f t="shared" si="37"/>
        <v>0</v>
      </c>
      <c r="BB81" s="2">
        <v>-11</v>
      </c>
      <c r="BC81" s="8">
        <f t="shared" si="38"/>
        <v>0</v>
      </c>
      <c r="BD81" s="8">
        <f t="shared" si="39"/>
        <v>0</v>
      </c>
      <c r="BE81" s="8">
        <f t="shared" si="40"/>
        <v>0</v>
      </c>
      <c r="BF81" s="8">
        <f t="shared" si="41"/>
        <v>0</v>
      </c>
    </row>
    <row r="82" spans="1:58" x14ac:dyDescent="0.45">
      <c r="A82" s="28"/>
      <c r="S82" s="9"/>
      <c r="AU82" s="1">
        <v>80</v>
      </c>
      <c r="AV82" s="8">
        <f t="shared" si="33"/>
        <v>0</v>
      </c>
      <c r="AW82" s="8">
        <f t="shared" si="34"/>
        <v>0</v>
      </c>
      <c r="AX82" s="8">
        <f t="shared" si="35"/>
        <v>0</v>
      </c>
      <c r="AY82" s="8">
        <f t="shared" si="36"/>
        <v>0</v>
      </c>
      <c r="AZ82" s="8">
        <f t="shared" si="37"/>
        <v>0</v>
      </c>
      <c r="BB82" s="2">
        <v>-10</v>
      </c>
      <c r="BC82" s="8">
        <f t="shared" si="38"/>
        <v>0</v>
      </c>
      <c r="BD82" s="8">
        <f t="shared" si="39"/>
        <v>0</v>
      </c>
      <c r="BE82" s="8">
        <f t="shared" si="40"/>
        <v>0</v>
      </c>
      <c r="BF82" s="8">
        <f t="shared" si="41"/>
        <v>0</v>
      </c>
    </row>
    <row r="83" spans="1:58" x14ac:dyDescent="0.45">
      <c r="S83" s="9"/>
      <c r="AU83" s="1">
        <v>81</v>
      </c>
      <c r="AV83" s="8">
        <f t="shared" si="33"/>
        <v>0</v>
      </c>
      <c r="AW83" s="8">
        <f t="shared" si="34"/>
        <v>0</v>
      </c>
      <c r="AX83" s="8">
        <f t="shared" si="35"/>
        <v>0</v>
      </c>
      <c r="AY83" s="8">
        <f t="shared" si="36"/>
        <v>0</v>
      </c>
      <c r="AZ83" s="8">
        <f t="shared" si="37"/>
        <v>0</v>
      </c>
      <c r="BB83" s="2">
        <v>-9</v>
      </c>
      <c r="BC83" s="8">
        <f t="shared" si="38"/>
        <v>0</v>
      </c>
      <c r="BD83" s="8">
        <f t="shared" si="39"/>
        <v>0</v>
      </c>
      <c r="BE83" s="8">
        <f t="shared" si="40"/>
        <v>0</v>
      </c>
      <c r="BF83" s="8">
        <f t="shared" si="41"/>
        <v>0</v>
      </c>
    </row>
    <row r="84" spans="1:58" x14ac:dyDescent="0.45">
      <c r="S84" s="9"/>
      <c r="AU84" s="1">
        <v>82</v>
      </c>
      <c r="AV84" s="8">
        <f t="shared" si="33"/>
        <v>0</v>
      </c>
      <c r="AW84" s="8">
        <f t="shared" si="34"/>
        <v>0</v>
      </c>
      <c r="AX84" s="8">
        <f t="shared" si="35"/>
        <v>0</v>
      </c>
      <c r="AY84" s="8">
        <f t="shared" si="36"/>
        <v>0</v>
      </c>
      <c r="AZ84" s="8">
        <f t="shared" si="37"/>
        <v>0</v>
      </c>
      <c r="BB84" s="2">
        <v>-8</v>
      </c>
      <c r="BC84" s="8">
        <f t="shared" si="38"/>
        <v>0</v>
      </c>
      <c r="BD84" s="8">
        <f t="shared" si="39"/>
        <v>0</v>
      </c>
      <c r="BE84" s="8">
        <f t="shared" si="40"/>
        <v>0</v>
      </c>
      <c r="BF84" s="8">
        <f t="shared" si="41"/>
        <v>0</v>
      </c>
    </row>
    <row r="85" spans="1:58" x14ac:dyDescent="0.45">
      <c r="AU85" s="1">
        <v>83</v>
      </c>
      <c r="AV85" s="8">
        <f t="shared" si="33"/>
        <v>0</v>
      </c>
      <c r="AW85" s="8">
        <f t="shared" si="34"/>
        <v>0</v>
      </c>
      <c r="AX85" s="8">
        <f t="shared" si="35"/>
        <v>0</v>
      </c>
      <c r="AY85" s="8">
        <f t="shared" si="36"/>
        <v>0</v>
      </c>
      <c r="AZ85" s="8">
        <f t="shared" si="37"/>
        <v>0</v>
      </c>
      <c r="BB85" s="2">
        <v>-7</v>
      </c>
      <c r="BC85" s="8">
        <f t="shared" si="38"/>
        <v>0</v>
      </c>
      <c r="BD85" s="8">
        <f t="shared" si="39"/>
        <v>0</v>
      </c>
      <c r="BE85" s="8">
        <f t="shared" si="40"/>
        <v>0</v>
      </c>
      <c r="BF85" s="8">
        <f t="shared" si="41"/>
        <v>0</v>
      </c>
    </row>
    <row r="86" spans="1:58" x14ac:dyDescent="0.45">
      <c r="A86" s="28" t="s">
        <v>33</v>
      </c>
      <c r="T86" s="27" t="s">
        <v>31</v>
      </c>
      <c r="U86" s="27"/>
      <c r="V86" s="27"/>
      <c r="W86" s="27"/>
      <c r="X86" s="27"/>
      <c r="Y86" s="27"/>
      <c r="Z86" s="27"/>
      <c r="AA86" s="27"/>
      <c r="AB86" s="27"/>
      <c r="AC86" s="27"/>
      <c r="AU86" s="1">
        <v>84</v>
      </c>
      <c r="AV86" s="8">
        <f t="shared" si="33"/>
        <v>0</v>
      </c>
      <c r="AW86" s="8">
        <f t="shared" si="34"/>
        <v>0</v>
      </c>
      <c r="AX86" s="8">
        <f t="shared" si="35"/>
        <v>0</v>
      </c>
      <c r="AY86" s="8">
        <f t="shared" si="36"/>
        <v>0</v>
      </c>
      <c r="AZ86" s="8">
        <f t="shared" si="37"/>
        <v>0</v>
      </c>
      <c r="BB86" s="2">
        <v>-6</v>
      </c>
      <c r="BC86" s="8">
        <f t="shared" si="38"/>
        <v>0</v>
      </c>
      <c r="BD86" s="8">
        <f t="shared" si="39"/>
        <v>0</v>
      </c>
      <c r="BE86" s="8">
        <f t="shared" si="40"/>
        <v>0</v>
      </c>
      <c r="BF86" s="8">
        <f t="shared" si="41"/>
        <v>0</v>
      </c>
    </row>
    <row r="87" spans="1:58" x14ac:dyDescent="0.45">
      <c r="A87" s="28"/>
      <c r="T87" s="14" t="e" cm="1">
        <f t="array" ref="T87">TipoDeBorde(S2:T3, $AF$91:$AG$92, $AI$91:$AJ$92, $AL$91:$AM$92, $AO$91:$AP$92, $AR$91:$AS$92)</f>
        <v>#VALUE!</v>
      </c>
      <c r="U87" s="14" t="e" cm="1">
        <f t="array" ref="U87">TipoDeBorde(T2:U3, $AF$91:$AG$92, $AI$91:$AJ$92, $AL$91:$AM$92, $AO$91:$AP$92, $AR$91:$AS$92)</f>
        <v>#VALUE!</v>
      </c>
      <c r="V87" s="14" t="e" cm="1">
        <f t="array" ref="V87">TipoDeBorde(U2:V3, $AF$91:$AG$92, $AI$91:$AJ$92, $AL$91:$AM$92, $AO$91:$AP$92, $AR$91:$AS$92)</f>
        <v>#VALUE!</v>
      </c>
      <c r="W87" s="14" t="e" cm="1">
        <f t="array" ref="W87">TipoDeBorde(V2:W3, $AF$91:$AG$92, $AI$91:$AJ$92, $AL$91:$AM$92, $AO$91:$AP$92, $AR$91:$AS$92)</f>
        <v>#VALUE!</v>
      </c>
      <c r="X87" s="16" t="e" cm="1">
        <f t="array" ref="X87">TipoDeBorde(W2:X3, $AF$91:$AG$92, $AI$91:$AJ$92, $AL$91:$AM$92, $AO$91:$AP$92, $AR$91:$AS$92)</f>
        <v>#VALUE!</v>
      </c>
      <c r="Y87" s="18" t="e" cm="1">
        <f t="array" ref="Y87">TipoDeBorde(Y2:Z3, $AF$91:$AG$92, $AI$91:$AJ$92, $AL$91:$AM$92, $AO$91:$AP$92, $AR$91:$AS$92)</f>
        <v>#VALUE!</v>
      </c>
      <c r="Z87" s="14" t="e" cm="1">
        <f t="array" ref="Z87">TipoDeBorde(Z2:AA3, $AF$91:$AG$92, $AI$91:$AJ$92, $AL$91:$AM$92, $AO$91:$AP$92, $AR$91:$AS$92)</f>
        <v>#VALUE!</v>
      </c>
      <c r="AA87" s="14" t="e" cm="1">
        <f t="array" ref="AA87">TipoDeBorde(AA2:AB3, $AF$91:$AG$92, $AI$91:$AJ$92, $AL$91:$AM$92, $AO$91:$AP$92, $AR$91:$AS$92)</f>
        <v>#VALUE!</v>
      </c>
      <c r="AB87" s="14" cm="1">
        <f t="array" ref="AB87">TipoDeBorde(AB2:AC3, $AF$91:$AG$92, $AI$91:$AJ$92, $AL$91:$AM$92, $AO$91:$AP$92, $AR$91:$AS$92)</f>
        <v>5</v>
      </c>
      <c r="AC87" s="14" cm="1">
        <f t="array" ref="AC87">TipoDeBorde(AC2:AD3, $AF$91:$AG$92, $AI$91:$AJ$92, $AL$91:$AM$92, $AO$91:$AP$92, $AR$91:$AS$92)</f>
        <v>5</v>
      </c>
      <c r="AU87" s="1">
        <v>85</v>
      </c>
      <c r="AV87" s="8">
        <f t="shared" si="33"/>
        <v>0</v>
      </c>
      <c r="AW87" s="8">
        <f t="shared" si="34"/>
        <v>0</v>
      </c>
      <c r="AX87" s="8">
        <f t="shared" si="35"/>
        <v>0</v>
      </c>
      <c r="AY87" s="8">
        <f t="shared" si="36"/>
        <v>0</v>
      </c>
      <c r="AZ87" s="8">
        <f t="shared" si="37"/>
        <v>0</v>
      </c>
      <c r="BB87" s="2">
        <v>-5</v>
      </c>
      <c r="BC87" s="8">
        <f t="shared" si="38"/>
        <v>0</v>
      </c>
      <c r="BD87" s="8">
        <f t="shared" si="39"/>
        <v>0</v>
      </c>
      <c r="BE87" s="8">
        <f t="shared" si="40"/>
        <v>0</v>
      </c>
      <c r="BF87" s="8">
        <f t="shared" si="41"/>
        <v>0</v>
      </c>
    </row>
    <row r="88" spans="1:58" x14ac:dyDescent="0.45">
      <c r="A88" s="28"/>
      <c r="T88" s="14" t="e" cm="1">
        <f t="array" ref="T88">TipoDeBorde(S3:T4, $AF$91:$AG$92, $AI$91:$AJ$92, $AL$91:$AM$92, $AO$91:$AP$92, $AR$91:$AS$92)</f>
        <v>#VALUE!</v>
      </c>
      <c r="U88" s="14" t="e" cm="1">
        <f t="array" ref="U88">TipoDeBorde(T3:U4, $AF$91:$AG$92, $AI$91:$AJ$92, $AL$91:$AM$92, $AO$91:$AP$92, $AR$91:$AS$92)</f>
        <v>#VALUE!</v>
      </c>
      <c r="V88" s="14" t="e" cm="1">
        <f t="array" ref="V88">TipoDeBorde(U3:V4, $AF$91:$AG$92, $AI$91:$AJ$92, $AL$91:$AM$92, $AO$91:$AP$92, $AR$91:$AS$92)</f>
        <v>#VALUE!</v>
      </c>
      <c r="W88" s="14" t="e" cm="1">
        <f t="array" ref="W88">TipoDeBorde(V3:W4, $AF$91:$AG$92, $AI$91:$AJ$92, $AL$91:$AM$92, $AO$91:$AP$92, $AR$91:$AS$92)</f>
        <v>#VALUE!</v>
      </c>
      <c r="X88" s="16" t="e" cm="1">
        <f t="array" ref="X88">TipoDeBorde(W3:X4, $AF$91:$AG$92, $AI$91:$AJ$92, $AL$91:$AM$92, $AO$91:$AP$92, $AR$91:$AS$92)</f>
        <v>#VALUE!</v>
      </c>
      <c r="Y88" s="18" t="e" cm="1">
        <f t="array" ref="Y88">TipoDeBorde(Y3:Z4, $AF$91:$AG$92, $AI$91:$AJ$92, $AL$91:$AM$92, $AO$91:$AP$92, $AR$91:$AS$92)</f>
        <v>#VALUE!</v>
      </c>
      <c r="Z88" s="14" t="e" cm="1">
        <f t="array" ref="Z88">TipoDeBorde(Z3:AA4, $AF$91:$AG$92, $AI$91:$AJ$92, $AL$91:$AM$92, $AO$91:$AP$92, $AR$91:$AS$92)</f>
        <v>#VALUE!</v>
      </c>
      <c r="AA88" s="14" cm="1">
        <f t="array" ref="AA88">TipoDeBorde(AA3:AB4, $AF$91:$AG$92, $AI$91:$AJ$92, $AL$91:$AM$92, $AO$91:$AP$92, $AR$91:$AS$92)</f>
        <v>5</v>
      </c>
      <c r="AB88" s="14" cm="1">
        <f t="array" ref="AB88">TipoDeBorde(AB3:AC4, $AF$91:$AG$92, $AI$91:$AJ$92, $AL$91:$AM$92, $AO$91:$AP$92, $AR$91:$AS$92)</f>
        <v>5</v>
      </c>
      <c r="AC88" s="14" t="e" cm="1">
        <f t="array" ref="AC88">TipoDeBorde(AC3:AD4, $AF$91:$AG$92, $AI$91:$AJ$92, $AL$91:$AM$92, $AO$91:$AP$92, $AR$91:$AS$92)</f>
        <v>#VALUE!</v>
      </c>
      <c r="AU88" s="1">
        <v>86</v>
      </c>
      <c r="AV88" s="8">
        <f t="shared" si="33"/>
        <v>0</v>
      </c>
      <c r="AW88" s="8">
        <f t="shared" si="34"/>
        <v>0</v>
      </c>
      <c r="AX88" s="8">
        <f t="shared" si="35"/>
        <v>0</v>
      </c>
      <c r="AY88" s="8">
        <f t="shared" si="36"/>
        <v>0</v>
      </c>
      <c r="AZ88" s="8">
        <f t="shared" si="37"/>
        <v>0</v>
      </c>
      <c r="BB88" s="2">
        <v>-4</v>
      </c>
      <c r="BC88" s="8">
        <f t="shared" si="38"/>
        <v>0</v>
      </c>
      <c r="BD88" s="8">
        <f t="shared" si="39"/>
        <v>0</v>
      </c>
      <c r="BE88" s="8">
        <f t="shared" si="40"/>
        <v>0</v>
      </c>
      <c r="BF88" s="8">
        <f t="shared" si="41"/>
        <v>0</v>
      </c>
    </row>
    <row r="89" spans="1:58" x14ac:dyDescent="0.45">
      <c r="A89" s="28"/>
      <c r="T89" s="14" t="e" cm="1">
        <f t="array" ref="T89">TipoDeBorde(S4:T5, $AF$91:$AG$92, $AI$91:$AJ$92, $AL$91:$AM$92, $AO$91:$AP$92, $AR$91:$AS$92)</f>
        <v>#VALUE!</v>
      </c>
      <c r="U89" s="14" t="e" cm="1">
        <f t="array" ref="U89">TipoDeBorde(T4:U5, $AF$91:$AG$92, $AI$91:$AJ$92, $AL$91:$AM$92, $AO$91:$AP$92, $AR$91:$AS$92)</f>
        <v>#VALUE!</v>
      </c>
      <c r="V89" s="14" t="e" cm="1">
        <f t="array" ref="V89">TipoDeBorde(U4:V5, $AF$91:$AG$92, $AI$91:$AJ$92, $AL$91:$AM$92, $AO$91:$AP$92, $AR$91:$AS$92)</f>
        <v>#VALUE!</v>
      </c>
      <c r="W89" s="14" t="e" cm="1">
        <f t="array" ref="W89">TipoDeBorde(V4:W5, $AF$91:$AG$92, $AI$91:$AJ$92, $AL$91:$AM$92, $AO$91:$AP$92, $AR$91:$AS$92)</f>
        <v>#VALUE!</v>
      </c>
      <c r="X89" s="16" t="e" cm="1">
        <f t="array" ref="X89">TipoDeBorde(W4:X5, $AF$91:$AG$92, $AI$91:$AJ$92, $AL$91:$AM$92, $AO$91:$AP$92, $AR$91:$AS$92)</f>
        <v>#VALUE!</v>
      </c>
      <c r="Y89" s="18" t="e" cm="1">
        <f t="array" ref="Y89">TipoDeBorde(Y4:Z5, $AF$91:$AG$92, $AI$91:$AJ$92, $AL$91:$AM$92, $AO$91:$AP$92, $AR$91:$AS$92)</f>
        <v>#VALUE!</v>
      </c>
      <c r="Z89" s="14" cm="1">
        <f t="array" ref="Z89">TipoDeBorde(Z4:AA5, $AF$91:$AG$92, $AI$91:$AJ$92, $AL$91:$AM$92, $AO$91:$AP$92, $AR$91:$AS$92)</f>
        <v>5</v>
      </c>
      <c r="AA89" s="14" cm="1">
        <f t="array" ref="AA89">TipoDeBorde(AA4:AB5, $AF$91:$AG$92, $AI$91:$AJ$92, $AL$91:$AM$92, $AO$91:$AP$92, $AR$91:$AS$92)</f>
        <v>5</v>
      </c>
      <c r="AB89" s="14" t="e" cm="1">
        <f t="array" ref="AB89">TipoDeBorde(AB4:AC5, $AF$91:$AG$92, $AI$91:$AJ$92, $AL$91:$AM$92, $AO$91:$AP$92, $AR$91:$AS$92)</f>
        <v>#VALUE!</v>
      </c>
      <c r="AC89" s="14" t="e" cm="1">
        <f t="array" ref="AC89">TipoDeBorde(AC4:AD5, $AF$91:$AG$92, $AI$91:$AJ$92, $AL$91:$AM$92, $AO$91:$AP$92, $AR$91:$AS$92)</f>
        <v>#VALUE!</v>
      </c>
      <c r="AU89" s="1">
        <v>87</v>
      </c>
      <c r="AV89" s="8">
        <f t="shared" si="33"/>
        <v>0</v>
      </c>
      <c r="AW89" s="8">
        <f t="shared" si="34"/>
        <v>0</v>
      </c>
      <c r="AX89" s="8">
        <f t="shared" si="35"/>
        <v>0</v>
      </c>
      <c r="AY89" s="8">
        <f t="shared" si="36"/>
        <v>0</v>
      </c>
      <c r="AZ89" s="8">
        <f t="shared" si="37"/>
        <v>0</v>
      </c>
      <c r="BB89" s="2">
        <v>-3</v>
      </c>
      <c r="BC89" s="8">
        <f t="shared" si="38"/>
        <v>0</v>
      </c>
      <c r="BD89" s="8">
        <f t="shared" si="39"/>
        <v>0</v>
      </c>
      <c r="BE89" s="8">
        <f t="shared" si="40"/>
        <v>0</v>
      </c>
      <c r="BF89" s="8">
        <f t="shared" si="41"/>
        <v>0</v>
      </c>
    </row>
    <row r="90" spans="1:58" x14ac:dyDescent="0.45">
      <c r="A90" s="28"/>
      <c r="T90" s="14" t="e" cm="1">
        <f t="array" ref="T90">TipoDeBorde(S5:T6, $AF$91:$AG$92, $AI$91:$AJ$92, $AL$91:$AM$92, $AO$91:$AP$92, $AR$91:$AS$92)</f>
        <v>#VALUE!</v>
      </c>
      <c r="U90" s="14" t="e" cm="1">
        <f t="array" ref="U90">TipoDeBorde(T5:U6, $AF$91:$AG$92, $AI$91:$AJ$92, $AL$91:$AM$92, $AO$91:$AP$92, $AR$91:$AS$92)</f>
        <v>#VALUE!</v>
      </c>
      <c r="V90" s="14" t="e" cm="1">
        <f t="array" ref="V90">TipoDeBorde(U5:V6, $AF$91:$AG$92, $AI$91:$AJ$92, $AL$91:$AM$92, $AO$91:$AP$92, $AR$91:$AS$92)</f>
        <v>#VALUE!</v>
      </c>
      <c r="W90" s="14" t="e" cm="1">
        <f t="array" ref="W90">TipoDeBorde(V5:W6, $AF$91:$AG$92, $AI$91:$AJ$92, $AL$91:$AM$92, $AO$91:$AP$92, $AR$91:$AS$92)</f>
        <v>#VALUE!</v>
      </c>
      <c r="X90" s="16" t="e" cm="1">
        <f t="array" ref="X90">TipoDeBorde(W5:X6, $AF$91:$AG$92, $AI$91:$AJ$92, $AL$91:$AM$92, $AO$91:$AP$92, $AR$91:$AS$92)</f>
        <v>#VALUE!</v>
      </c>
      <c r="Y90" s="18" cm="1">
        <f t="array" ref="Y90">TipoDeBorde(Y5:Z6, $AF$91:$AG$92, $AI$91:$AJ$92, $AL$91:$AM$92, $AO$91:$AP$92, $AR$91:$AS$92)</f>
        <v>5</v>
      </c>
      <c r="Z90" s="14" cm="1">
        <f t="array" ref="Z90">TipoDeBorde(Z5:AA6, $AF$91:$AG$92, $AI$91:$AJ$92, $AL$91:$AM$92, $AO$91:$AP$92, $AR$91:$AS$92)</f>
        <v>5</v>
      </c>
      <c r="AA90" s="14" t="e" cm="1">
        <f t="array" ref="AA90">TipoDeBorde(AA5:AB6, $AF$91:$AG$92, $AI$91:$AJ$92, $AL$91:$AM$92, $AO$91:$AP$92, $AR$91:$AS$92)</f>
        <v>#VALUE!</v>
      </c>
      <c r="AB90" s="14" t="e" cm="1">
        <f t="array" ref="AB90">TipoDeBorde(AB5:AC6, $AF$91:$AG$92, $AI$91:$AJ$92, $AL$91:$AM$92, $AO$91:$AP$92, $AR$91:$AS$92)</f>
        <v>#VALUE!</v>
      </c>
      <c r="AC90" s="14" t="e" cm="1">
        <f t="array" ref="AC90">TipoDeBorde(AC5:AD6, $AF$91:$AG$92, $AI$91:$AJ$92, $AL$91:$AM$92, $AO$91:$AP$92, $AR$91:$AS$92)</f>
        <v>#VALUE!</v>
      </c>
      <c r="AF90" s="27" t="s">
        <v>25</v>
      </c>
      <c r="AG90" s="27"/>
      <c r="AI90" s="27" t="s">
        <v>26</v>
      </c>
      <c r="AJ90" s="27"/>
      <c r="AL90" s="27" t="s">
        <v>27</v>
      </c>
      <c r="AM90" s="27"/>
      <c r="AO90" s="27" t="s">
        <v>28</v>
      </c>
      <c r="AP90" s="27"/>
      <c r="AR90" s="27" t="s">
        <v>29</v>
      </c>
      <c r="AS90" s="27"/>
      <c r="AU90" s="1">
        <v>88</v>
      </c>
      <c r="AV90" s="8">
        <f t="shared" si="33"/>
        <v>0</v>
      </c>
      <c r="AW90" s="8">
        <f t="shared" si="34"/>
        <v>0</v>
      </c>
      <c r="AX90" s="8">
        <f t="shared" si="35"/>
        <v>0</v>
      </c>
      <c r="AY90" s="8">
        <f t="shared" si="36"/>
        <v>0</v>
      </c>
      <c r="AZ90" s="8">
        <f t="shared" si="37"/>
        <v>0</v>
      </c>
      <c r="BB90" s="2">
        <v>-2</v>
      </c>
      <c r="BC90" s="8">
        <f t="shared" si="38"/>
        <v>0</v>
      </c>
      <c r="BD90" s="8">
        <f t="shared" si="39"/>
        <v>0</v>
      </c>
      <c r="BE90" s="8">
        <f t="shared" si="40"/>
        <v>0</v>
      </c>
      <c r="BF90" s="8">
        <f t="shared" si="41"/>
        <v>0</v>
      </c>
    </row>
    <row r="91" spans="1:58" x14ac:dyDescent="0.45">
      <c r="A91" s="28"/>
      <c r="T91" s="15" t="e" cm="1">
        <f t="array" ref="T91">TipoDeBorde(S6:T7, $AF$91:$AG$92, $AI$91:$AJ$92, $AL$91:$AM$92, $AO$91:$AP$92, $AR$91:$AS$92)</f>
        <v>#VALUE!</v>
      </c>
      <c r="U91" s="15" t="e" cm="1">
        <f t="array" ref="U91">TipoDeBorde(T6:U7, $AF$91:$AG$92, $AI$91:$AJ$92, $AL$91:$AM$92, $AO$91:$AP$92, $AR$91:$AS$92)</f>
        <v>#VALUE!</v>
      </c>
      <c r="V91" s="15" t="e" cm="1">
        <f t="array" ref="V91">TipoDeBorde(U6:V7, $AF$91:$AG$92, $AI$91:$AJ$92, $AL$91:$AM$92, $AO$91:$AP$92, $AR$91:$AS$92)</f>
        <v>#VALUE!</v>
      </c>
      <c r="W91" s="15" t="e" cm="1">
        <f t="array" ref="W91">TipoDeBorde(V6:W7, $AF$91:$AG$92, $AI$91:$AJ$92, $AL$91:$AM$92, $AO$91:$AP$92, $AR$91:$AS$92)</f>
        <v>#VALUE!</v>
      </c>
      <c r="X91" s="17" t="e" cm="1">
        <f t="array" ref="X91">TipoDeBorde(W6:X7, $AF$91:$AG$92, $AI$91:$AJ$92, $AL$91:$AM$92, $AO$91:$AP$92, $AR$91:$AS$92)</f>
        <v>#VALUE!</v>
      </c>
      <c r="Y91" s="19" cm="1">
        <f t="array" ref="Y91">TipoDeBorde(Y6:Z7, $AF$91:$AG$92, $AI$91:$AJ$92, $AL$91:$AM$92, $AO$91:$AP$92, $AR$91:$AS$92)</f>
        <v>5</v>
      </c>
      <c r="Z91" s="15" t="e" cm="1">
        <f t="array" ref="Z91">TipoDeBorde(Z6:AA7, $AF$91:$AG$92, $AI$91:$AJ$92, $AL$91:$AM$92, $AO$91:$AP$92, $AR$91:$AS$92)</f>
        <v>#VALUE!</v>
      </c>
      <c r="AA91" s="15" t="e" cm="1">
        <f t="array" ref="AA91">TipoDeBorde(AA6:AB7, $AF$91:$AG$92, $AI$91:$AJ$92, $AL$91:$AM$92, $AO$91:$AP$92, $AR$91:$AS$92)</f>
        <v>#VALUE!</v>
      </c>
      <c r="AB91" s="15" t="e" cm="1">
        <f t="array" ref="AB91">TipoDeBorde(AB6:AC7, $AF$91:$AG$92, $AI$91:$AJ$92, $AL$91:$AM$92, $AO$91:$AP$92, $AR$91:$AS$92)</f>
        <v>#VALUE!</v>
      </c>
      <c r="AC91" s="15" t="e" cm="1">
        <f t="array" ref="AC91">TipoDeBorde(AC6:AD7, $AF$91:$AG$92, $AI$91:$AJ$92, $AL$91:$AM$92, $AO$91:$AP$92, $AR$91:$AS$92)</f>
        <v>#VALUE!</v>
      </c>
      <c r="AF91" s="6">
        <v>1</v>
      </c>
      <c r="AG91" s="6">
        <v>-1</v>
      </c>
      <c r="AI91" s="6">
        <v>1</v>
      </c>
      <c r="AJ91" s="6">
        <v>1</v>
      </c>
      <c r="AL91" s="11">
        <f>SQRT(2)</f>
        <v>1.4142135623730951</v>
      </c>
      <c r="AM91" s="6">
        <v>0</v>
      </c>
      <c r="AO91" s="12">
        <v>0</v>
      </c>
      <c r="AP91" s="11">
        <f>SQRT(2)</f>
        <v>1.4142135623730951</v>
      </c>
      <c r="AR91" s="13">
        <v>2</v>
      </c>
      <c r="AS91" s="13">
        <v>-2</v>
      </c>
      <c r="AU91" s="1">
        <v>89</v>
      </c>
      <c r="AV91" s="8">
        <f t="shared" si="33"/>
        <v>0</v>
      </c>
      <c r="AW91" s="8">
        <f t="shared" si="34"/>
        <v>0</v>
      </c>
      <c r="AX91" s="8">
        <f t="shared" si="35"/>
        <v>0</v>
      </c>
      <c r="AY91" s="8">
        <f t="shared" si="36"/>
        <v>0</v>
      </c>
      <c r="AZ91" s="8">
        <f t="shared" si="37"/>
        <v>0</v>
      </c>
      <c r="BB91" s="2">
        <v>-1</v>
      </c>
      <c r="BC91" s="8">
        <f t="shared" si="38"/>
        <v>0</v>
      </c>
      <c r="BD91" s="8">
        <f t="shared" si="39"/>
        <v>0</v>
      </c>
      <c r="BE91" s="8">
        <f t="shared" si="40"/>
        <v>0</v>
      </c>
      <c r="BF91" s="8">
        <f t="shared" si="41"/>
        <v>0</v>
      </c>
    </row>
    <row r="92" spans="1:58" x14ac:dyDescent="0.45">
      <c r="A92" s="28"/>
      <c r="T92" s="20" t="e" cm="1">
        <f t="array" ref="T92">TipoDeBorde(S8:T9, $AF$91:$AG$92, $AI$91:$AJ$92, $AL$91:$AM$92, $AO$91:$AP$92, $AR$91:$AS$92)</f>
        <v>#VALUE!</v>
      </c>
      <c r="U92" s="20" t="e" cm="1">
        <f t="array" ref="U92">TipoDeBorde(T8:U9, $AF$91:$AG$92, $AI$91:$AJ$92, $AL$91:$AM$92, $AO$91:$AP$92, $AR$91:$AS$92)</f>
        <v>#VALUE!</v>
      </c>
      <c r="V92" s="20" cm="1">
        <f t="array" ref="V92">TipoDeBorde(U8:V9, $AF$91:$AG$92, $AI$91:$AJ$92, $AL$91:$AM$92, $AO$91:$AP$92, $AR$91:$AS$92)</f>
        <v>1</v>
      </c>
      <c r="W92" s="20" t="e" cm="1">
        <f t="array" ref="W92">TipoDeBorde(V8:W9, $AF$91:$AG$92, $AI$91:$AJ$92, $AL$91:$AM$92, $AO$91:$AP$92, $AR$91:$AS$92)</f>
        <v>#VALUE!</v>
      </c>
      <c r="X92" s="21" t="e" cm="1">
        <f t="array" ref="X92">TipoDeBorde(W8:X9, $AF$91:$AG$92, $AI$91:$AJ$92, $AL$91:$AM$92, $AO$91:$AP$92, $AR$91:$AS$92)</f>
        <v>#VALUE!</v>
      </c>
      <c r="Y92" s="22" t="e" cm="1">
        <f t="array" ref="Y92">TipoDeBorde(Y8:Z9, $AF$91:$AG$92, $AI$91:$AJ$92, $AL$91:$AM$92, $AO$91:$AP$92, $AR$91:$AS$92)</f>
        <v>#VALUE!</v>
      </c>
      <c r="Z92" s="20" t="e" cm="1">
        <f t="array" ref="Z92">TipoDeBorde(Z8:AA9, $AF$91:$AG$92, $AI$91:$AJ$92, $AL$91:$AM$92, $AO$91:$AP$92, $AR$91:$AS$92)</f>
        <v>#VALUE!</v>
      </c>
      <c r="AA92" s="20" t="e" cm="1">
        <f t="array" ref="AA92">TipoDeBorde(AA8:AB9, $AF$91:$AG$92, $AI$91:$AJ$92, $AL$91:$AM$92, $AO$91:$AP$92, $AR$91:$AS$92)</f>
        <v>#VALUE!</v>
      </c>
      <c r="AB92" s="20" t="e" cm="1">
        <f t="array" ref="AB92">TipoDeBorde(AB8:AC9, $AF$91:$AG$92, $AI$91:$AJ$92, $AL$91:$AM$92, $AO$91:$AP$92, $AR$91:$AS$92)</f>
        <v>#VALUE!</v>
      </c>
      <c r="AC92" s="20" t="e" cm="1">
        <f t="array" ref="AC92">TipoDeBorde(AC8:AD9, $AF$91:$AG$92, $AI$91:$AJ$92, $AL$91:$AM$92, $AO$91:$AP$92, $AR$91:$AS$92)</f>
        <v>#VALUE!</v>
      </c>
      <c r="AF92" s="6">
        <v>1</v>
      </c>
      <c r="AG92" s="6">
        <v>-1</v>
      </c>
      <c r="AI92" s="6">
        <v>-1</v>
      </c>
      <c r="AJ92" s="6">
        <v>-1</v>
      </c>
      <c r="AL92" s="6">
        <v>0</v>
      </c>
      <c r="AM92" s="11">
        <f>-SQRT(2)</f>
        <v>-1.4142135623730951</v>
      </c>
      <c r="AO92" s="11">
        <f>-SQRT(2)</f>
        <v>-1.4142135623730951</v>
      </c>
      <c r="AP92" s="12">
        <v>0</v>
      </c>
      <c r="AR92" s="13">
        <v>-2</v>
      </c>
      <c r="AS92" s="13">
        <v>2</v>
      </c>
      <c r="AU92" s="1">
        <v>90</v>
      </c>
      <c r="AV92" s="8">
        <f t="shared" si="33"/>
        <v>0</v>
      </c>
      <c r="AW92" s="8">
        <f t="shared" si="34"/>
        <v>0</v>
      </c>
      <c r="AX92" s="8">
        <f t="shared" si="35"/>
        <v>0</v>
      </c>
      <c r="AY92" s="8">
        <f t="shared" si="36"/>
        <v>0</v>
      </c>
      <c r="AZ92" s="8">
        <f t="shared" si="37"/>
        <v>0</v>
      </c>
      <c r="BB92" s="2">
        <v>0</v>
      </c>
      <c r="BC92" s="8">
        <f t="shared" si="38"/>
        <v>0.33333333333333331</v>
      </c>
      <c r="BD92" s="8">
        <f t="shared" si="39"/>
        <v>9.5238095238095233E-2</v>
      </c>
      <c r="BE92" s="8">
        <f t="shared" si="40"/>
        <v>0.625</v>
      </c>
      <c r="BF92" s="8">
        <f t="shared" si="41"/>
        <v>6.25E-2</v>
      </c>
    </row>
    <row r="93" spans="1:58" x14ac:dyDescent="0.45">
      <c r="A93" s="28"/>
      <c r="T93" s="14" t="e" cm="1">
        <f t="array" ref="T93">TipoDeBorde(S9:T10, $AF$91:$AG$92, $AI$91:$AJ$92, $AL$91:$AM$92, $AO$91:$AP$92, $AR$91:$AS$92)</f>
        <v>#VALUE!</v>
      </c>
      <c r="U93" s="14" t="e" cm="1">
        <f t="array" ref="U93">TipoDeBorde(T9:U10, $AF$91:$AG$92, $AI$91:$AJ$92, $AL$91:$AM$92, $AO$91:$AP$92, $AR$91:$AS$92)</f>
        <v>#VALUE!</v>
      </c>
      <c r="V93" s="14" cm="1">
        <f t="array" ref="V93">TipoDeBorde(U9:V10, $AF$91:$AG$92, $AI$91:$AJ$92, $AL$91:$AM$92, $AO$91:$AP$92, $AR$91:$AS$92)</f>
        <v>1</v>
      </c>
      <c r="W93" s="14" t="e" cm="1">
        <f t="array" ref="W93">TipoDeBorde(V9:W10, $AF$91:$AG$92, $AI$91:$AJ$92, $AL$91:$AM$92, $AO$91:$AP$92, $AR$91:$AS$92)</f>
        <v>#VALUE!</v>
      </c>
      <c r="X93" s="16" t="e" cm="1">
        <f t="array" ref="X93">TipoDeBorde(W9:X10, $AF$91:$AG$92, $AI$91:$AJ$92, $AL$91:$AM$92, $AO$91:$AP$92, $AR$91:$AS$92)</f>
        <v>#VALUE!</v>
      </c>
      <c r="Y93" s="18" t="e" cm="1">
        <f t="array" ref="Y93">TipoDeBorde(Y9:Z10, $AF$91:$AG$92, $AI$91:$AJ$92, $AL$91:$AM$92, $AO$91:$AP$92, $AR$91:$AS$92)</f>
        <v>#VALUE!</v>
      </c>
      <c r="Z93" s="14" t="e" cm="1">
        <f t="array" ref="Z93">TipoDeBorde(Z9:AA10, $AF$91:$AG$92, $AI$91:$AJ$92, $AL$91:$AM$92, $AO$91:$AP$92, $AR$91:$AS$92)</f>
        <v>#VALUE!</v>
      </c>
      <c r="AA93" s="14" t="e" cm="1">
        <f t="array" ref="AA93">TipoDeBorde(AA9:AB10, $AF$91:$AG$92, $AI$91:$AJ$92, $AL$91:$AM$92, $AO$91:$AP$92, $AR$91:$AS$92)</f>
        <v>#VALUE!</v>
      </c>
      <c r="AB93" s="14" t="e" cm="1">
        <f t="array" ref="AB93">TipoDeBorde(AB9:AC10, $AF$91:$AG$92, $AI$91:$AJ$92, $AL$91:$AM$92, $AO$91:$AP$92, $AR$91:$AS$92)</f>
        <v>#VALUE!</v>
      </c>
      <c r="AC93" s="14" t="e" cm="1">
        <f t="array" ref="AC93">TipoDeBorde(AC9:AD10, $AF$91:$AG$92, $AI$91:$AJ$92, $AL$91:$AM$92, $AO$91:$AP$92, $AR$91:$AS$92)</f>
        <v>#VALUE!</v>
      </c>
      <c r="AU93" s="1">
        <v>91</v>
      </c>
      <c r="AV93" s="8">
        <f t="shared" si="33"/>
        <v>0</v>
      </c>
      <c r="AW93" s="8">
        <f t="shared" si="34"/>
        <v>0</v>
      </c>
      <c r="AX93" s="8">
        <f t="shared" si="35"/>
        <v>0</v>
      </c>
      <c r="AY93" s="8">
        <f t="shared" si="36"/>
        <v>0</v>
      </c>
      <c r="AZ93" s="8">
        <f t="shared" si="37"/>
        <v>0</v>
      </c>
      <c r="BB93" s="2">
        <v>1</v>
      </c>
      <c r="BC93" s="8">
        <f t="shared" si="38"/>
        <v>0</v>
      </c>
      <c r="BD93" s="8">
        <f t="shared" si="39"/>
        <v>0</v>
      </c>
      <c r="BE93" s="8">
        <f t="shared" si="40"/>
        <v>0</v>
      </c>
      <c r="BF93" s="8">
        <f t="shared" si="41"/>
        <v>0</v>
      </c>
    </row>
    <row r="94" spans="1:58" x14ac:dyDescent="0.45">
      <c r="A94" s="28"/>
      <c r="T94" s="14" t="e" cm="1">
        <f t="array" ref="T94">TipoDeBorde(S10:T11, $AF$91:$AG$92, $AI$91:$AJ$92, $AL$91:$AM$92, $AO$91:$AP$92, $AR$91:$AS$92)</f>
        <v>#VALUE!</v>
      </c>
      <c r="U94" s="14" t="e" cm="1">
        <f t="array" ref="U94">TipoDeBorde(T10:U11, $AF$91:$AG$92, $AI$91:$AJ$92, $AL$91:$AM$92, $AO$91:$AP$92, $AR$91:$AS$92)</f>
        <v>#VALUE!</v>
      </c>
      <c r="V94" s="14" cm="1">
        <f t="array" ref="V94">TipoDeBorde(U10:V11, $AF$91:$AG$92, $AI$91:$AJ$92, $AL$91:$AM$92, $AO$91:$AP$92, $AR$91:$AS$92)</f>
        <v>1</v>
      </c>
      <c r="W94" s="14" t="e" cm="1">
        <f t="array" ref="W94">TipoDeBorde(V10:W11, $AF$91:$AG$92, $AI$91:$AJ$92, $AL$91:$AM$92, $AO$91:$AP$92, $AR$91:$AS$92)</f>
        <v>#VALUE!</v>
      </c>
      <c r="X94" s="16" t="e" cm="1">
        <f t="array" ref="X94">TipoDeBorde(W10:X11, $AF$91:$AG$92, $AI$91:$AJ$92, $AL$91:$AM$92, $AO$91:$AP$92, $AR$91:$AS$92)</f>
        <v>#VALUE!</v>
      </c>
      <c r="Y94" s="18" cm="1">
        <f t="array" ref="Y94">TipoDeBorde(Y10:Z11, $AF$91:$AG$92, $AI$91:$AJ$92, $AL$91:$AM$92, $AO$91:$AP$92, $AR$91:$AS$92)</f>
        <v>2</v>
      </c>
      <c r="Z94" s="14" cm="1">
        <f t="array" ref="Z94">TipoDeBorde(Z10:AA11, $AF$91:$AG$92, $AI$91:$AJ$92, $AL$91:$AM$92, $AO$91:$AP$92, $AR$91:$AS$92)</f>
        <v>2</v>
      </c>
      <c r="AA94" s="14" cm="1">
        <f t="array" ref="AA94">TipoDeBorde(AA10:AB11, $AF$91:$AG$92, $AI$91:$AJ$92, $AL$91:$AM$92, $AO$91:$AP$92, $AR$91:$AS$92)</f>
        <v>2</v>
      </c>
      <c r="AB94" s="14" cm="1">
        <f t="array" ref="AB94">TipoDeBorde(AB10:AC11, $AF$91:$AG$92, $AI$91:$AJ$92, $AL$91:$AM$92, $AO$91:$AP$92, $AR$91:$AS$92)</f>
        <v>2</v>
      </c>
      <c r="AC94" s="14" cm="1">
        <f t="array" ref="AC94">TipoDeBorde(AC10:AD11, $AF$91:$AG$92, $AI$91:$AJ$92, $AL$91:$AM$92, $AO$91:$AP$92, $AR$91:$AS$92)</f>
        <v>2</v>
      </c>
      <c r="AU94" s="1">
        <v>92</v>
      </c>
      <c r="AV94" s="8">
        <f t="shared" si="33"/>
        <v>0</v>
      </c>
      <c r="AW94" s="8">
        <f t="shared" si="34"/>
        <v>0</v>
      </c>
      <c r="AX94" s="8">
        <f t="shared" si="35"/>
        <v>0</v>
      </c>
      <c r="AY94" s="8">
        <f t="shared" si="36"/>
        <v>0</v>
      </c>
      <c r="AZ94" s="8">
        <f t="shared" si="37"/>
        <v>0</v>
      </c>
      <c r="BB94" s="2">
        <v>2</v>
      </c>
      <c r="BC94" s="8">
        <f t="shared" si="38"/>
        <v>0</v>
      </c>
      <c r="BD94" s="8">
        <f t="shared" si="39"/>
        <v>0</v>
      </c>
      <c r="BE94" s="8">
        <f t="shared" si="40"/>
        <v>0</v>
      </c>
      <c r="BF94" s="8">
        <f t="shared" si="41"/>
        <v>0</v>
      </c>
    </row>
    <row r="95" spans="1:58" x14ac:dyDescent="0.45">
      <c r="A95" s="28"/>
      <c r="T95" s="14" t="e" cm="1">
        <f t="array" ref="T95">TipoDeBorde(S11:T12, $AF$91:$AG$92, $AI$91:$AJ$92, $AL$91:$AM$92, $AO$91:$AP$92, $AR$91:$AS$92)</f>
        <v>#VALUE!</v>
      </c>
      <c r="U95" s="14" t="e" cm="1">
        <f t="array" ref="U95">TipoDeBorde(T11:U12, $AF$91:$AG$92, $AI$91:$AJ$92, $AL$91:$AM$92, $AO$91:$AP$92, $AR$91:$AS$92)</f>
        <v>#VALUE!</v>
      </c>
      <c r="V95" s="14" cm="1">
        <f t="array" ref="V95">TipoDeBorde(U11:V12, $AF$91:$AG$92, $AI$91:$AJ$92, $AL$91:$AM$92, $AO$91:$AP$92, $AR$91:$AS$92)</f>
        <v>1</v>
      </c>
      <c r="W95" s="14" t="e" cm="1">
        <f t="array" ref="W95">TipoDeBorde(V11:W12, $AF$91:$AG$92, $AI$91:$AJ$92, $AL$91:$AM$92, $AO$91:$AP$92, $AR$91:$AS$92)</f>
        <v>#VALUE!</v>
      </c>
      <c r="X95" s="16" t="e" cm="1">
        <f t="array" ref="X95">TipoDeBorde(W11:X12, $AF$91:$AG$92, $AI$91:$AJ$92, $AL$91:$AM$92, $AO$91:$AP$92, $AR$91:$AS$92)</f>
        <v>#VALUE!</v>
      </c>
      <c r="Y95" s="18" t="e" cm="1">
        <f t="array" ref="Y95">TipoDeBorde(Y11:Z12, $AF$91:$AG$92, $AI$91:$AJ$92, $AL$91:$AM$92, $AO$91:$AP$92, $AR$91:$AS$92)</f>
        <v>#VALUE!</v>
      </c>
      <c r="Z95" s="14" t="e" cm="1">
        <f t="array" ref="Z95">TipoDeBorde(Z11:AA12, $AF$91:$AG$92, $AI$91:$AJ$92, $AL$91:$AM$92, $AO$91:$AP$92, $AR$91:$AS$92)</f>
        <v>#VALUE!</v>
      </c>
      <c r="AA95" s="14" t="e" cm="1">
        <f t="array" ref="AA95">TipoDeBorde(AA11:AB12, $AF$91:$AG$92, $AI$91:$AJ$92, $AL$91:$AM$92, $AO$91:$AP$92, $AR$91:$AS$92)</f>
        <v>#VALUE!</v>
      </c>
      <c r="AB95" s="14" t="e" cm="1">
        <f t="array" ref="AB95">TipoDeBorde(AB11:AC12, $AF$91:$AG$92, $AI$91:$AJ$92, $AL$91:$AM$92, $AO$91:$AP$92, $AR$91:$AS$92)</f>
        <v>#VALUE!</v>
      </c>
      <c r="AC95" s="14" t="e" cm="1">
        <f t="array" ref="AC95">TipoDeBorde(AC11:AD12, $AF$91:$AG$92, $AI$91:$AJ$92, $AL$91:$AM$92, $AO$91:$AP$92, $AR$91:$AS$92)</f>
        <v>#VALUE!</v>
      </c>
      <c r="AU95" s="1">
        <v>93</v>
      </c>
      <c r="AV95" s="8">
        <f t="shared" si="33"/>
        <v>0</v>
      </c>
      <c r="AW95" s="8">
        <f t="shared" si="34"/>
        <v>0</v>
      </c>
      <c r="AX95" s="8">
        <f t="shared" si="35"/>
        <v>0</v>
      </c>
      <c r="AY95" s="8">
        <f t="shared" si="36"/>
        <v>0</v>
      </c>
      <c r="AZ95" s="8">
        <f t="shared" si="37"/>
        <v>0</v>
      </c>
      <c r="BB95" s="2">
        <v>3</v>
      </c>
      <c r="BC95" s="8">
        <f t="shared" si="38"/>
        <v>0</v>
      </c>
      <c r="BD95" s="8">
        <f t="shared" si="39"/>
        <v>0</v>
      </c>
      <c r="BE95" s="8">
        <f t="shared" si="40"/>
        <v>0</v>
      </c>
      <c r="BF95" s="8">
        <f t="shared" si="41"/>
        <v>0</v>
      </c>
    </row>
    <row r="96" spans="1:58" x14ac:dyDescent="0.45">
      <c r="A96" s="28"/>
      <c r="T96" s="14" t="e" cm="1">
        <f t="array" ref="T96">TipoDeBorde(S12:T13, $AF$91:$AG$92, $AI$91:$AJ$92, $AL$91:$AM$92, $AO$91:$AP$92, $AR$91:$AS$92)</f>
        <v>#VALUE!</v>
      </c>
      <c r="U96" s="14" t="e" cm="1">
        <f t="array" ref="U96">TipoDeBorde(T12:U13, $AF$91:$AG$92, $AI$91:$AJ$92, $AL$91:$AM$92, $AO$91:$AP$92, $AR$91:$AS$92)</f>
        <v>#VALUE!</v>
      </c>
      <c r="V96" s="14" cm="1">
        <f t="array" ref="V96">TipoDeBorde(U12:V13, $AF$91:$AG$92, $AI$91:$AJ$92, $AL$91:$AM$92, $AO$91:$AP$92, $AR$91:$AS$92)</f>
        <v>1</v>
      </c>
      <c r="W96" s="14" t="e" cm="1">
        <f t="array" ref="W96">TipoDeBorde(V12:W13, $AF$91:$AG$92, $AI$91:$AJ$92, $AL$91:$AM$92, $AO$91:$AP$92, $AR$91:$AS$92)</f>
        <v>#VALUE!</v>
      </c>
      <c r="X96" s="16" t="e" cm="1">
        <f t="array" ref="X96">TipoDeBorde(W12:X13, $AF$91:$AG$92, $AI$91:$AJ$92, $AL$91:$AM$92, $AO$91:$AP$92, $AR$91:$AS$92)</f>
        <v>#VALUE!</v>
      </c>
      <c r="Y96" s="18" t="e" cm="1">
        <f t="array" ref="Y96">TipoDeBorde(Y12:Z13, $AF$91:$AG$92, $AI$91:$AJ$92, $AL$91:$AM$92, $AO$91:$AP$92, $AR$91:$AS$92)</f>
        <v>#VALUE!</v>
      </c>
      <c r="Z96" s="14" t="e" cm="1">
        <f t="array" ref="Z96">TipoDeBorde(Z12:AA13, $AF$91:$AG$92, $AI$91:$AJ$92, $AL$91:$AM$92, $AO$91:$AP$92, $AR$91:$AS$92)</f>
        <v>#VALUE!</v>
      </c>
      <c r="AA96" s="14" t="e" cm="1">
        <f t="array" ref="AA96">TipoDeBorde(AA12:AB13, $AF$91:$AG$92, $AI$91:$AJ$92, $AL$91:$AM$92, $AO$91:$AP$92, $AR$91:$AS$92)</f>
        <v>#VALUE!</v>
      </c>
      <c r="AB96" s="14" t="e" cm="1">
        <f t="array" ref="AB96">TipoDeBorde(AB12:AC13, $AF$91:$AG$92, $AI$91:$AJ$92, $AL$91:$AM$92, $AO$91:$AP$92, $AR$91:$AS$92)</f>
        <v>#VALUE!</v>
      </c>
      <c r="AC96" s="14" t="e" cm="1">
        <f t="array" ref="AC96">TipoDeBorde(AC12:AD13, $AF$91:$AG$92, $AI$91:$AJ$92, $AL$91:$AM$92, $AO$91:$AP$92, $AR$91:$AS$92)</f>
        <v>#VALUE!</v>
      </c>
      <c r="AU96" s="1">
        <v>94</v>
      </c>
      <c r="AV96" s="8">
        <f t="shared" si="33"/>
        <v>0</v>
      </c>
      <c r="AW96" s="8">
        <f t="shared" si="34"/>
        <v>0</v>
      </c>
      <c r="AX96" s="8">
        <f t="shared" si="35"/>
        <v>0</v>
      </c>
      <c r="AY96" s="8">
        <f t="shared" si="36"/>
        <v>0</v>
      </c>
      <c r="AZ96" s="8">
        <f t="shared" si="37"/>
        <v>0</v>
      </c>
      <c r="BB96" s="2">
        <v>4</v>
      </c>
      <c r="BC96" s="8">
        <f t="shared" si="38"/>
        <v>0</v>
      </c>
      <c r="BD96" s="8">
        <f t="shared" si="39"/>
        <v>0</v>
      </c>
      <c r="BE96" s="8">
        <f t="shared" si="40"/>
        <v>0</v>
      </c>
      <c r="BF96" s="8">
        <f t="shared" si="41"/>
        <v>0</v>
      </c>
    </row>
    <row r="97" spans="1:58" x14ac:dyDescent="0.45">
      <c r="A97" s="28"/>
      <c r="AU97" s="1">
        <v>95</v>
      </c>
      <c r="AV97" s="8">
        <f t="shared" si="33"/>
        <v>0</v>
      </c>
      <c r="AW97" s="8">
        <f t="shared" si="34"/>
        <v>0</v>
      </c>
      <c r="AX97" s="8">
        <f t="shared" si="35"/>
        <v>0</v>
      </c>
      <c r="AY97" s="8">
        <f t="shared" si="36"/>
        <v>0</v>
      </c>
      <c r="AZ97" s="8">
        <f t="shared" si="37"/>
        <v>0</v>
      </c>
      <c r="BB97" s="2">
        <v>5</v>
      </c>
      <c r="BC97" s="8">
        <f t="shared" si="38"/>
        <v>0</v>
      </c>
      <c r="BD97" s="8">
        <f t="shared" si="39"/>
        <v>0</v>
      </c>
      <c r="BE97" s="8">
        <f t="shared" si="40"/>
        <v>0</v>
      </c>
      <c r="BF97" s="8">
        <f t="shared" si="41"/>
        <v>0</v>
      </c>
    </row>
    <row r="98" spans="1:58" x14ac:dyDescent="0.45">
      <c r="A98" s="28"/>
      <c r="T98" s="27" t="s">
        <v>30</v>
      </c>
      <c r="U98" s="27"/>
      <c r="V98" s="27"/>
      <c r="W98" s="27"/>
      <c r="X98" s="27"/>
      <c r="Y98" s="27"/>
      <c r="Z98" s="27"/>
      <c r="AA98" s="27"/>
      <c r="AB98" s="27"/>
      <c r="AC98" s="27"/>
      <c r="AD98" s="27"/>
      <c r="AU98" s="1">
        <v>96</v>
      </c>
      <c r="AV98" s="8">
        <f t="shared" si="33"/>
        <v>0</v>
      </c>
      <c r="AW98" s="8">
        <f t="shared" si="34"/>
        <v>0</v>
      </c>
      <c r="AX98" s="8">
        <f t="shared" si="35"/>
        <v>0</v>
      </c>
      <c r="AY98" s="8">
        <f t="shared" si="36"/>
        <v>0</v>
      </c>
      <c r="AZ98" s="8">
        <f t="shared" si="37"/>
        <v>0</v>
      </c>
      <c r="BB98" s="2">
        <v>6</v>
      </c>
      <c r="BC98" s="8">
        <f t="shared" ref="BC98:BC129" si="42">COUNTIFS($T$71:$X$75,  "&gt;="&amp;$BB98, $T$71:$X$75,  "&lt;"&amp;($BB98+1)) / COUNT($T$71:$X$75)</f>
        <v>0</v>
      </c>
      <c r="BD98" s="8">
        <f t="shared" ref="BD98:BD129" si="43">COUNTIFS($Y$71:$AC$75,  "&gt;="&amp;$BB98, $Y$71:$AC$75,  "&lt;"&amp;($BB98+1)) / COUNT($Y$71:$AC$75)</f>
        <v>0</v>
      </c>
      <c r="BE98" s="8">
        <f t="shared" ref="BE98:BE129" si="44">COUNTIFS($T$76:$X$80,  "&gt;="&amp;$BB98, $T$76:$X$80,  "&lt;"&amp;($BB98+1)) / COUNT($T$76:$X$80)</f>
        <v>0</v>
      </c>
      <c r="BF98" s="8">
        <f t="shared" ref="BF98:BF129" si="45">COUNTIFS($Y$76:$AC$80,  "&gt;="&amp;$BB98, $Y$76:$AC$80,  "&lt;"&amp;($BB98+1)) / COUNT($Y$76:$AC$80)</f>
        <v>0</v>
      </c>
    </row>
    <row r="99" spans="1:58" x14ac:dyDescent="0.45">
      <c r="A99" s="28"/>
      <c r="T99" s="9" t="e" cm="1">
        <f t="array" ref="T99">TipoDeBorde(S2:T3, $AF$91:$AG$92, $AI$91:$AJ$92, $AL$91:$AM$92, $AO$91:$AP$92, $AR$91:$AS$92)</f>
        <v>#VALUE!</v>
      </c>
      <c r="U99" s="9" t="e" cm="1">
        <f t="array" ref="U99">TipoDeBorde(T2:U3, $AF$91:$AG$92, $AI$91:$AJ$92, $AL$91:$AM$92, $AO$91:$AP$92, $AR$91:$AS$92)</f>
        <v>#VALUE!</v>
      </c>
      <c r="V99" s="9" t="e" cm="1">
        <f t="array" ref="V99">TipoDeBorde(U2:V3, $AF$91:$AG$92, $AI$91:$AJ$92, $AL$91:$AM$92, $AO$91:$AP$92, $AR$91:$AS$92)</f>
        <v>#VALUE!</v>
      </c>
      <c r="W99" s="9" t="e" cm="1">
        <f t="array" ref="W99">TipoDeBorde(V2:W3, $AF$91:$AG$92, $AI$91:$AJ$92, $AL$91:$AM$92, $AO$91:$AP$92, $AR$91:$AS$92)</f>
        <v>#VALUE!</v>
      </c>
      <c r="X99" s="9" t="e" cm="1">
        <f t="array" ref="X99">TipoDeBorde(W2:X3, $AF$91:$AG$92, $AI$91:$AJ$92, $AL$91:$AM$92, $AO$91:$AP$92, $AR$91:$AS$92)</f>
        <v>#VALUE!</v>
      </c>
      <c r="Y99" s="9" cm="1">
        <f t="array" ref="Y99">TipoDeBorde(X2:Y3, $AF$91:$AG$92, $AI$91:$AJ$92, $AL$91:$AM$92, $AO$91:$AP$92, $AR$91:$AS$92)</f>
        <v>1</v>
      </c>
      <c r="Z99" s="9" t="e" cm="1">
        <f t="array" ref="Z99">TipoDeBorde(Y2:Z3, $AF$91:$AG$92, $AI$91:$AJ$92, $AL$91:$AM$92, $AO$91:$AP$92, $AR$91:$AS$92)</f>
        <v>#VALUE!</v>
      </c>
      <c r="AA99" s="9" t="e" cm="1">
        <f t="array" ref="AA99">TipoDeBorde(Z2:AA3, $AF$91:$AG$92, $AI$91:$AJ$92, $AL$91:$AM$92, $AO$91:$AP$92, $AR$91:$AS$92)</f>
        <v>#VALUE!</v>
      </c>
      <c r="AB99" s="9" t="e" cm="1">
        <f t="array" ref="AB99">TipoDeBorde(AA2:AB3, $AF$91:$AG$92, $AI$91:$AJ$92, $AL$91:$AM$92, $AO$91:$AP$92, $AR$91:$AS$92)</f>
        <v>#VALUE!</v>
      </c>
      <c r="AC99" s="9" cm="1">
        <f t="array" ref="AC99">TipoDeBorde(AB2:AC3, $AF$91:$AG$92, $AI$91:$AJ$92, $AL$91:$AM$92, $AO$91:$AP$92, $AR$91:$AS$92)</f>
        <v>5</v>
      </c>
      <c r="AD99" s="9" cm="1">
        <f t="array" ref="AD99">TipoDeBorde(AC2:AD3, $AF$91:$AG$92, $AI$91:$AJ$92, $AL$91:$AM$92, $AO$91:$AP$92, $AR$91:$AS$92)</f>
        <v>5</v>
      </c>
      <c r="AU99" s="1">
        <v>97</v>
      </c>
      <c r="AV99" s="8">
        <f t="shared" si="33"/>
        <v>0</v>
      </c>
      <c r="AW99" s="8">
        <f t="shared" si="34"/>
        <v>0</v>
      </c>
      <c r="AX99" s="8">
        <f t="shared" si="35"/>
        <v>0</v>
      </c>
      <c r="AY99" s="8">
        <f t="shared" si="36"/>
        <v>0</v>
      </c>
      <c r="AZ99" s="8">
        <f t="shared" si="37"/>
        <v>0</v>
      </c>
      <c r="BB99" s="2">
        <v>7</v>
      </c>
      <c r="BC99" s="8">
        <f t="shared" si="42"/>
        <v>0</v>
      </c>
      <c r="BD99" s="8">
        <f t="shared" si="43"/>
        <v>0</v>
      </c>
      <c r="BE99" s="8">
        <f t="shared" si="44"/>
        <v>0</v>
      </c>
      <c r="BF99" s="8">
        <f t="shared" si="45"/>
        <v>0</v>
      </c>
    </row>
    <row r="100" spans="1:58" x14ac:dyDescent="0.45">
      <c r="A100" s="28"/>
      <c r="T100" s="9" t="e" cm="1">
        <f t="array" ref="T100">TipoDeBorde(S3:T4, $AF$91:$AG$92, $AI$91:$AJ$92, $AL$91:$AM$92, $AO$91:$AP$92, $AR$91:$AS$92)</f>
        <v>#VALUE!</v>
      </c>
      <c r="U100" s="9" t="e" cm="1">
        <f t="array" ref="U100">TipoDeBorde(T3:U4, $AF$91:$AG$92, $AI$91:$AJ$92, $AL$91:$AM$92, $AO$91:$AP$92, $AR$91:$AS$92)</f>
        <v>#VALUE!</v>
      </c>
      <c r="V100" s="9" t="e" cm="1">
        <f t="array" ref="V100">TipoDeBorde(U3:V4, $AF$91:$AG$92, $AI$91:$AJ$92, $AL$91:$AM$92, $AO$91:$AP$92, $AR$91:$AS$92)</f>
        <v>#VALUE!</v>
      </c>
      <c r="W100" s="9" t="e" cm="1">
        <f t="array" ref="W100">TipoDeBorde(V3:W4, $AF$91:$AG$92, $AI$91:$AJ$92, $AL$91:$AM$92, $AO$91:$AP$92, $AR$91:$AS$92)</f>
        <v>#VALUE!</v>
      </c>
      <c r="X100" s="9" t="e" cm="1">
        <f t="array" ref="X100">TipoDeBorde(W3:X4, $AF$91:$AG$92, $AI$91:$AJ$92, $AL$91:$AM$92, $AO$91:$AP$92, $AR$91:$AS$92)</f>
        <v>#VALUE!</v>
      </c>
      <c r="Y100" s="9" cm="1">
        <f t="array" ref="Y100">TipoDeBorde(X3:Y4, $AF$91:$AG$92, $AI$91:$AJ$92, $AL$91:$AM$92, $AO$91:$AP$92, $AR$91:$AS$92)</f>
        <v>1</v>
      </c>
      <c r="Z100" s="9" t="e" cm="1">
        <f t="array" ref="Z100">TipoDeBorde(Y3:Z4, $AF$91:$AG$92, $AI$91:$AJ$92, $AL$91:$AM$92, $AO$91:$AP$92, $AR$91:$AS$92)</f>
        <v>#VALUE!</v>
      </c>
      <c r="AA100" s="9" t="e" cm="1">
        <f t="array" ref="AA100">TipoDeBorde(Z3:AA4, $AF$91:$AG$92, $AI$91:$AJ$92, $AL$91:$AM$92, $AO$91:$AP$92, $AR$91:$AS$92)</f>
        <v>#VALUE!</v>
      </c>
      <c r="AB100" s="9" cm="1">
        <f t="array" ref="AB100">TipoDeBorde(AA3:AB4, $AF$91:$AG$92, $AI$91:$AJ$92, $AL$91:$AM$92, $AO$91:$AP$92, $AR$91:$AS$92)</f>
        <v>5</v>
      </c>
      <c r="AC100" s="9" cm="1">
        <f t="array" ref="AC100">TipoDeBorde(AB3:AC4, $AF$91:$AG$92, $AI$91:$AJ$92, $AL$91:$AM$92, $AO$91:$AP$92, $AR$91:$AS$92)</f>
        <v>5</v>
      </c>
      <c r="AD100" s="9" t="e" cm="1">
        <f t="array" ref="AD100">TipoDeBorde(AC3:AD4, $AF$91:$AG$92, $AI$91:$AJ$92, $AL$91:$AM$92, $AO$91:$AP$92, $AR$91:$AS$92)</f>
        <v>#VALUE!</v>
      </c>
      <c r="AU100" s="1">
        <v>98</v>
      </c>
      <c r="AV100" s="8">
        <f t="shared" si="33"/>
        <v>0</v>
      </c>
      <c r="AW100" s="8">
        <f t="shared" si="34"/>
        <v>0</v>
      </c>
      <c r="AX100" s="8">
        <f t="shared" si="35"/>
        <v>0</v>
      </c>
      <c r="AY100" s="8">
        <f t="shared" si="36"/>
        <v>0</v>
      </c>
      <c r="AZ100" s="8">
        <f t="shared" si="37"/>
        <v>0</v>
      </c>
      <c r="BB100" s="2">
        <v>8</v>
      </c>
      <c r="BC100" s="8">
        <f t="shared" si="42"/>
        <v>0</v>
      </c>
      <c r="BD100" s="8">
        <f t="shared" si="43"/>
        <v>0</v>
      </c>
      <c r="BE100" s="8">
        <f t="shared" si="44"/>
        <v>0</v>
      </c>
      <c r="BF100" s="8">
        <f t="shared" si="45"/>
        <v>0</v>
      </c>
    </row>
    <row r="101" spans="1:58" x14ac:dyDescent="0.45">
      <c r="A101" s="28"/>
      <c r="T101" s="9" t="e" cm="1">
        <f t="array" ref="T101">TipoDeBorde(S4:T5, $AF$91:$AG$92, $AI$91:$AJ$92, $AL$91:$AM$92, $AO$91:$AP$92, $AR$91:$AS$92)</f>
        <v>#VALUE!</v>
      </c>
      <c r="U101" s="9" t="e" cm="1">
        <f t="array" ref="U101">TipoDeBorde(T4:U5, $AF$91:$AG$92, $AI$91:$AJ$92, $AL$91:$AM$92, $AO$91:$AP$92, $AR$91:$AS$92)</f>
        <v>#VALUE!</v>
      </c>
      <c r="V101" s="9" t="e" cm="1">
        <f t="array" ref="V101">TipoDeBorde(U4:V5, $AF$91:$AG$92, $AI$91:$AJ$92, $AL$91:$AM$92, $AO$91:$AP$92, $AR$91:$AS$92)</f>
        <v>#VALUE!</v>
      </c>
      <c r="W101" s="9" t="e" cm="1">
        <f t="array" ref="W101">TipoDeBorde(V4:W5, $AF$91:$AG$92, $AI$91:$AJ$92, $AL$91:$AM$92, $AO$91:$AP$92, $AR$91:$AS$92)</f>
        <v>#VALUE!</v>
      </c>
      <c r="X101" s="9" t="e" cm="1">
        <f t="array" ref="X101">TipoDeBorde(W4:X5, $AF$91:$AG$92, $AI$91:$AJ$92, $AL$91:$AM$92, $AO$91:$AP$92, $AR$91:$AS$92)</f>
        <v>#VALUE!</v>
      </c>
      <c r="Y101" s="9" cm="1">
        <f t="array" ref="Y101">TipoDeBorde(X4:Y5, $AF$91:$AG$92, $AI$91:$AJ$92, $AL$91:$AM$92, $AO$91:$AP$92, $AR$91:$AS$92)</f>
        <v>1</v>
      </c>
      <c r="Z101" s="9" t="e" cm="1">
        <f t="array" ref="Z101">TipoDeBorde(Y4:Z5, $AF$91:$AG$92, $AI$91:$AJ$92, $AL$91:$AM$92, $AO$91:$AP$92, $AR$91:$AS$92)</f>
        <v>#VALUE!</v>
      </c>
      <c r="AA101" s="9" cm="1">
        <f t="array" ref="AA101">TipoDeBorde(Z4:AA5, $AF$91:$AG$92, $AI$91:$AJ$92, $AL$91:$AM$92, $AO$91:$AP$92, $AR$91:$AS$92)</f>
        <v>5</v>
      </c>
      <c r="AB101" s="9" cm="1">
        <f t="array" ref="AB101">TipoDeBorde(AA4:AB5, $AF$91:$AG$92, $AI$91:$AJ$92, $AL$91:$AM$92, $AO$91:$AP$92, $AR$91:$AS$92)</f>
        <v>5</v>
      </c>
      <c r="AC101" s="9" t="e" cm="1">
        <f t="array" ref="AC101">TipoDeBorde(AB4:AC5, $AF$91:$AG$92, $AI$91:$AJ$92, $AL$91:$AM$92, $AO$91:$AP$92, $AR$91:$AS$92)</f>
        <v>#VALUE!</v>
      </c>
      <c r="AD101" s="9" t="e" cm="1">
        <f t="array" ref="AD101">TipoDeBorde(AC4:AD5, $AF$91:$AG$92, $AI$91:$AJ$92, $AL$91:$AM$92, $AO$91:$AP$92, $AR$91:$AS$92)</f>
        <v>#VALUE!</v>
      </c>
      <c r="AU101" s="1">
        <v>99</v>
      </c>
      <c r="AV101" s="8">
        <f t="shared" si="33"/>
        <v>0</v>
      </c>
      <c r="AW101" s="8">
        <f t="shared" si="34"/>
        <v>0</v>
      </c>
      <c r="AX101" s="8">
        <f t="shared" si="35"/>
        <v>0</v>
      </c>
      <c r="AY101" s="8">
        <f t="shared" si="36"/>
        <v>0</v>
      </c>
      <c r="AZ101" s="8">
        <f t="shared" si="37"/>
        <v>0</v>
      </c>
      <c r="BB101" s="2">
        <v>9</v>
      </c>
      <c r="BC101" s="8">
        <f t="shared" si="42"/>
        <v>0</v>
      </c>
      <c r="BD101" s="8">
        <f t="shared" si="43"/>
        <v>0</v>
      </c>
      <c r="BE101" s="8">
        <f t="shared" si="44"/>
        <v>0</v>
      </c>
      <c r="BF101" s="8">
        <f t="shared" si="45"/>
        <v>0</v>
      </c>
    </row>
    <row r="102" spans="1:58" x14ac:dyDescent="0.45">
      <c r="A102" s="28"/>
      <c r="T102" s="9" t="e" cm="1">
        <f t="array" ref="T102">TipoDeBorde(S5:T6, $AF$91:$AG$92, $AI$91:$AJ$92, $AL$91:$AM$92, $AO$91:$AP$92, $AR$91:$AS$92)</f>
        <v>#VALUE!</v>
      </c>
      <c r="U102" s="9" t="e" cm="1">
        <f t="array" ref="U102">TipoDeBorde(T5:U6, $AF$91:$AG$92, $AI$91:$AJ$92, $AL$91:$AM$92, $AO$91:$AP$92, $AR$91:$AS$92)</f>
        <v>#VALUE!</v>
      </c>
      <c r="V102" s="9" t="e" cm="1">
        <f t="array" ref="V102">TipoDeBorde(U5:V6, $AF$91:$AG$92, $AI$91:$AJ$92, $AL$91:$AM$92, $AO$91:$AP$92, $AR$91:$AS$92)</f>
        <v>#VALUE!</v>
      </c>
      <c r="W102" s="9" t="e" cm="1">
        <f t="array" ref="W102">TipoDeBorde(V5:W6, $AF$91:$AG$92, $AI$91:$AJ$92, $AL$91:$AM$92, $AO$91:$AP$92, $AR$91:$AS$92)</f>
        <v>#VALUE!</v>
      </c>
      <c r="X102" s="9" t="e" cm="1">
        <f t="array" ref="X102">TipoDeBorde(W5:X6, $AF$91:$AG$92, $AI$91:$AJ$92, $AL$91:$AM$92, $AO$91:$AP$92, $AR$91:$AS$92)</f>
        <v>#VALUE!</v>
      </c>
      <c r="Y102" s="9" cm="1">
        <f t="array" ref="Y102">TipoDeBorde(X5:Y6, $AF$91:$AG$92, $AI$91:$AJ$92, $AL$91:$AM$92, $AO$91:$AP$92, $AR$91:$AS$92)</f>
        <v>1</v>
      </c>
      <c r="Z102" s="9" cm="1">
        <f t="array" ref="Z102">TipoDeBorde(Y5:Z6, $AF$91:$AG$92, $AI$91:$AJ$92, $AL$91:$AM$92, $AO$91:$AP$92, $AR$91:$AS$92)</f>
        <v>5</v>
      </c>
      <c r="AA102" s="9" cm="1">
        <f t="array" ref="AA102">TipoDeBorde(Z5:AA6, $AF$91:$AG$92, $AI$91:$AJ$92, $AL$91:$AM$92, $AO$91:$AP$92, $AR$91:$AS$92)</f>
        <v>5</v>
      </c>
      <c r="AB102" s="9" t="e" cm="1">
        <f t="array" ref="AB102">TipoDeBorde(AA5:AB6, $AF$91:$AG$92, $AI$91:$AJ$92, $AL$91:$AM$92, $AO$91:$AP$92, $AR$91:$AS$92)</f>
        <v>#VALUE!</v>
      </c>
      <c r="AC102" s="9" t="e" cm="1">
        <f t="array" ref="AC102">TipoDeBorde(AB5:AC6, $AF$91:$AG$92, $AI$91:$AJ$92, $AL$91:$AM$92, $AO$91:$AP$92, $AR$91:$AS$92)</f>
        <v>#VALUE!</v>
      </c>
      <c r="AD102" s="9" t="e" cm="1">
        <f t="array" ref="AD102">TipoDeBorde(AC5:AD6, $AF$91:$AG$92, $AI$91:$AJ$92, $AL$91:$AM$92, $AO$91:$AP$92, $AR$91:$AS$92)</f>
        <v>#VALUE!</v>
      </c>
      <c r="AU102" s="1">
        <v>100</v>
      </c>
      <c r="AV102" s="8">
        <f t="shared" si="33"/>
        <v>0</v>
      </c>
      <c r="AW102" s="8">
        <f t="shared" si="34"/>
        <v>0</v>
      </c>
      <c r="AX102" s="8">
        <f t="shared" si="35"/>
        <v>0</v>
      </c>
      <c r="AY102" s="8">
        <f t="shared" si="36"/>
        <v>0</v>
      </c>
      <c r="AZ102" s="8">
        <f t="shared" si="37"/>
        <v>0</v>
      </c>
      <c r="BB102" s="2">
        <v>10</v>
      </c>
      <c r="BC102" s="8">
        <f t="shared" si="42"/>
        <v>0</v>
      </c>
      <c r="BD102" s="8">
        <f t="shared" si="43"/>
        <v>0</v>
      </c>
      <c r="BE102" s="8">
        <f t="shared" si="44"/>
        <v>0</v>
      </c>
      <c r="BF102" s="8">
        <f t="shared" si="45"/>
        <v>0</v>
      </c>
    </row>
    <row r="103" spans="1:58" x14ac:dyDescent="0.45">
      <c r="A103" s="28"/>
      <c r="T103" s="9" t="e" cm="1">
        <f t="array" ref="T103">TipoDeBorde(S6:T7, $AF$91:$AG$92, $AI$91:$AJ$92, $AL$91:$AM$92, $AO$91:$AP$92, $AR$91:$AS$92)</f>
        <v>#VALUE!</v>
      </c>
      <c r="U103" s="9" t="e" cm="1">
        <f t="array" ref="U103">TipoDeBorde(T6:U7, $AF$91:$AG$92, $AI$91:$AJ$92, $AL$91:$AM$92, $AO$91:$AP$92, $AR$91:$AS$92)</f>
        <v>#VALUE!</v>
      </c>
      <c r="V103" s="9" t="e" cm="1">
        <f t="array" ref="V103">TipoDeBorde(U6:V7, $AF$91:$AG$92, $AI$91:$AJ$92, $AL$91:$AM$92, $AO$91:$AP$92, $AR$91:$AS$92)</f>
        <v>#VALUE!</v>
      </c>
      <c r="W103" s="9" t="e" cm="1">
        <f t="array" ref="W103">TipoDeBorde(V6:W7, $AF$91:$AG$92, $AI$91:$AJ$92, $AL$91:$AM$92, $AO$91:$AP$92, $AR$91:$AS$92)</f>
        <v>#VALUE!</v>
      </c>
      <c r="X103" s="9" t="e" cm="1">
        <f t="array" ref="X103">TipoDeBorde(W6:X7, $AF$91:$AG$92, $AI$91:$AJ$92, $AL$91:$AM$92, $AO$91:$AP$92, $AR$91:$AS$92)</f>
        <v>#VALUE!</v>
      </c>
      <c r="Y103" s="9" cm="1">
        <f t="array" ref="Y103">TipoDeBorde(X6:Y7, $AF$91:$AG$92, $AI$91:$AJ$92, $AL$91:$AM$92, $AO$91:$AP$92, $AR$91:$AS$92)</f>
        <v>5</v>
      </c>
      <c r="Z103" s="9" cm="1">
        <f t="array" ref="Z103">TipoDeBorde(Y6:Z7, $AF$91:$AG$92, $AI$91:$AJ$92, $AL$91:$AM$92, $AO$91:$AP$92, $AR$91:$AS$92)</f>
        <v>5</v>
      </c>
      <c r="AA103" s="9" t="e" cm="1">
        <f t="array" ref="AA103">TipoDeBorde(Z6:AA7, $AF$91:$AG$92, $AI$91:$AJ$92, $AL$91:$AM$92, $AO$91:$AP$92, $AR$91:$AS$92)</f>
        <v>#VALUE!</v>
      </c>
      <c r="AB103" s="9" t="e" cm="1">
        <f t="array" ref="AB103">TipoDeBorde(AA6:AB7, $AF$91:$AG$92, $AI$91:$AJ$92, $AL$91:$AM$92, $AO$91:$AP$92, $AR$91:$AS$92)</f>
        <v>#VALUE!</v>
      </c>
      <c r="AC103" s="9" t="e" cm="1">
        <f t="array" ref="AC103">TipoDeBorde(AB6:AC7, $AF$91:$AG$92, $AI$91:$AJ$92, $AL$91:$AM$92, $AO$91:$AP$92, $AR$91:$AS$92)</f>
        <v>#VALUE!</v>
      </c>
      <c r="AD103" s="9" t="e" cm="1">
        <f t="array" ref="AD103">TipoDeBorde(AC6:AD7, $AF$91:$AG$92, $AI$91:$AJ$92, $AL$91:$AM$92, $AO$91:$AP$92, $AR$91:$AS$92)</f>
        <v>#VALUE!</v>
      </c>
      <c r="AU103" s="1">
        <v>101</v>
      </c>
      <c r="AV103" s="8">
        <f t="shared" si="33"/>
        <v>0</v>
      </c>
      <c r="AW103" s="8">
        <f t="shared" si="34"/>
        <v>0</v>
      </c>
      <c r="AX103" s="8">
        <f t="shared" si="35"/>
        <v>0</v>
      </c>
      <c r="AY103" s="8">
        <f t="shared" si="36"/>
        <v>0</v>
      </c>
      <c r="AZ103" s="8">
        <f t="shared" si="37"/>
        <v>0</v>
      </c>
      <c r="BB103" s="2">
        <v>11</v>
      </c>
      <c r="BC103" s="8">
        <f t="shared" si="42"/>
        <v>0</v>
      </c>
      <c r="BD103" s="8">
        <f t="shared" si="43"/>
        <v>0</v>
      </c>
      <c r="BE103" s="8">
        <f t="shared" si="44"/>
        <v>0</v>
      </c>
      <c r="BF103" s="8">
        <f t="shared" si="45"/>
        <v>0</v>
      </c>
    </row>
    <row r="104" spans="1:58" x14ac:dyDescent="0.45">
      <c r="A104" s="28"/>
      <c r="T104" s="9" cm="1">
        <f t="array" ref="T104">TipoDeBorde(S7:T8, $AF$91:$AG$92, $AI$91:$AJ$92, $AL$91:$AM$92, $AO$91:$AP$92, $AR$91:$AS$92)</f>
        <v>2</v>
      </c>
      <c r="U104" s="9" cm="1">
        <f t="array" ref="U104">TipoDeBorde(T7:U8, $AF$91:$AG$92, $AI$91:$AJ$92, $AL$91:$AM$92, $AO$91:$AP$92, $AR$91:$AS$92)</f>
        <v>2</v>
      </c>
      <c r="V104" s="9" cm="1">
        <f t="array" ref="V104">TipoDeBorde(U7:V8, $AF$91:$AG$92, $AI$91:$AJ$92, $AL$91:$AM$92, $AO$91:$AP$92, $AR$91:$AS$92)</f>
        <v>5</v>
      </c>
      <c r="W104" s="9" cm="1">
        <f t="array" ref="W104">TipoDeBorde(V7:W8, $AF$91:$AG$92, $AI$91:$AJ$92, $AL$91:$AM$92, $AO$91:$AP$92, $AR$91:$AS$92)</f>
        <v>2</v>
      </c>
      <c r="X104" s="9" cm="1">
        <f t="array" ref="X104">TipoDeBorde(W7:X8, $AF$91:$AG$92, $AI$91:$AJ$92, $AL$91:$AM$92, $AO$91:$AP$92, $AR$91:$AS$92)</f>
        <v>2</v>
      </c>
      <c r="Y104" s="9" cm="1">
        <f t="array" ref="Y104">TipoDeBorde(X7:Y8, $AF$91:$AG$92, $AI$91:$AJ$92, $AL$91:$AM$92, $AO$91:$AP$92, $AR$91:$AS$92)</f>
        <v>5</v>
      </c>
      <c r="Z104" s="9" cm="1">
        <f t="array" ref="Z104">TipoDeBorde(Y7:Z8, $AF$91:$AG$92, $AI$91:$AJ$92, $AL$91:$AM$92, $AO$91:$AP$92, $AR$91:$AS$92)</f>
        <v>2</v>
      </c>
      <c r="AA104" s="9" cm="1">
        <f t="array" ref="AA104">TipoDeBorde(Z7:AA8, $AF$91:$AG$92, $AI$91:$AJ$92, $AL$91:$AM$92, $AO$91:$AP$92, $AR$91:$AS$92)</f>
        <v>2</v>
      </c>
      <c r="AB104" s="9" cm="1">
        <f t="array" ref="AB104">TipoDeBorde(AA7:AB8, $AF$91:$AG$92, $AI$91:$AJ$92, $AL$91:$AM$92, $AO$91:$AP$92, $AR$91:$AS$92)</f>
        <v>2</v>
      </c>
      <c r="AC104" s="9" cm="1">
        <f t="array" ref="AC104">TipoDeBorde(AB7:AC8, $AF$91:$AG$92, $AI$91:$AJ$92, $AL$91:$AM$92, $AO$91:$AP$92, $AR$91:$AS$92)</f>
        <v>2</v>
      </c>
      <c r="AD104" s="9" cm="1">
        <f t="array" ref="AD104">TipoDeBorde(AC7:AD8, $AF$91:$AG$92, $AI$91:$AJ$92, $AL$91:$AM$92, $AO$91:$AP$92, $AR$91:$AS$92)</f>
        <v>2</v>
      </c>
      <c r="AU104" s="1">
        <v>102</v>
      </c>
      <c r="AV104" s="8">
        <f t="shared" si="33"/>
        <v>0</v>
      </c>
      <c r="AW104" s="8">
        <f t="shared" si="34"/>
        <v>0</v>
      </c>
      <c r="AX104" s="8">
        <f t="shared" si="35"/>
        <v>0</v>
      </c>
      <c r="AY104" s="8">
        <f t="shared" si="36"/>
        <v>0</v>
      </c>
      <c r="AZ104" s="8">
        <f t="shared" si="37"/>
        <v>0</v>
      </c>
      <c r="BB104" s="2">
        <v>12</v>
      </c>
      <c r="BC104" s="8">
        <f t="shared" si="42"/>
        <v>0</v>
      </c>
      <c r="BD104" s="8">
        <f t="shared" si="43"/>
        <v>0</v>
      </c>
      <c r="BE104" s="8">
        <f t="shared" si="44"/>
        <v>0</v>
      </c>
      <c r="BF104" s="8">
        <f t="shared" si="45"/>
        <v>0</v>
      </c>
    </row>
    <row r="105" spans="1:58" x14ac:dyDescent="0.45">
      <c r="A105" s="28"/>
      <c r="T105" s="9" t="e" cm="1">
        <f t="array" ref="T105">TipoDeBorde(S8:T9, $AF$91:$AG$92, $AI$91:$AJ$92, $AL$91:$AM$92, $AO$91:$AP$92, $AR$91:$AS$92)</f>
        <v>#VALUE!</v>
      </c>
      <c r="U105" s="9" t="e" cm="1">
        <f t="array" ref="U105">TipoDeBorde(T8:U9, $AF$91:$AG$92, $AI$91:$AJ$92, $AL$91:$AM$92, $AO$91:$AP$92, $AR$91:$AS$92)</f>
        <v>#VALUE!</v>
      </c>
      <c r="V105" s="9" cm="1">
        <f t="array" ref="V105">TipoDeBorde(U8:V9, $AF$91:$AG$92, $AI$91:$AJ$92, $AL$91:$AM$92, $AO$91:$AP$92, $AR$91:$AS$92)</f>
        <v>1</v>
      </c>
      <c r="W105" s="9" t="e" cm="1">
        <f t="array" ref="W105">TipoDeBorde(V8:W9, $AF$91:$AG$92, $AI$91:$AJ$92, $AL$91:$AM$92, $AO$91:$AP$92, $AR$91:$AS$92)</f>
        <v>#VALUE!</v>
      </c>
      <c r="X105" s="9" t="e" cm="1">
        <f t="array" ref="X105">TipoDeBorde(W8:X9, $AF$91:$AG$92, $AI$91:$AJ$92, $AL$91:$AM$92, $AO$91:$AP$92, $AR$91:$AS$92)</f>
        <v>#VALUE!</v>
      </c>
      <c r="Y105" s="9" cm="1">
        <f t="array" ref="Y105">TipoDeBorde(X8:Y9, $AF$91:$AG$92, $AI$91:$AJ$92, $AL$91:$AM$92, $AO$91:$AP$92, $AR$91:$AS$92)</f>
        <v>1</v>
      </c>
      <c r="Z105" s="9" t="e" cm="1">
        <f t="array" ref="Z105">TipoDeBorde(Y8:Z9, $AF$91:$AG$92, $AI$91:$AJ$92, $AL$91:$AM$92, $AO$91:$AP$92, $AR$91:$AS$92)</f>
        <v>#VALUE!</v>
      </c>
      <c r="AA105" s="9" t="e" cm="1">
        <f t="array" ref="AA105">TipoDeBorde(Z8:AA9, $AF$91:$AG$92, $AI$91:$AJ$92, $AL$91:$AM$92, $AO$91:$AP$92, $AR$91:$AS$92)</f>
        <v>#VALUE!</v>
      </c>
      <c r="AB105" s="9" t="e" cm="1">
        <f t="array" ref="AB105">TipoDeBorde(AA8:AB9, $AF$91:$AG$92, $AI$91:$AJ$92, $AL$91:$AM$92, $AO$91:$AP$92, $AR$91:$AS$92)</f>
        <v>#VALUE!</v>
      </c>
      <c r="AC105" s="9" t="e" cm="1">
        <f t="array" ref="AC105">TipoDeBorde(AB8:AC9, $AF$91:$AG$92, $AI$91:$AJ$92, $AL$91:$AM$92, $AO$91:$AP$92, $AR$91:$AS$92)</f>
        <v>#VALUE!</v>
      </c>
      <c r="AD105" s="9" t="e" cm="1">
        <f t="array" ref="AD105">TipoDeBorde(AC8:AD9, $AF$91:$AG$92, $AI$91:$AJ$92, $AL$91:$AM$92, $AO$91:$AP$92, $AR$91:$AS$92)</f>
        <v>#VALUE!</v>
      </c>
      <c r="AU105" s="1">
        <v>103</v>
      </c>
      <c r="AV105" s="8">
        <f t="shared" si="33"/>
        <v>0</v>
      </c>
      <c r="AW105" s="8">
        <f t="shared" si="34"/>
        <v>0</v>
      </c>
      <c r="AX105" s="8">
        <f t="shared" si="35"/>
        <v>0</v>
      </c>
      <c r="AY105" s="8">
        <f t="shared" si="36"/>
        <v>0</v>
      </c>
      <c r="AZ105" s="8">
        <f t="shared" si="37"/>
        <v>0</v>
      </c>
      <c r="BB105" s="2">
        <v>13</v>
      </c>
      <c r="BC105" s="8">
        <f t="shared" si="42"/>
        <v>0</v>
      </c>
      <c r="BD105" s="8">
        <f t="shared" si="43"/>
        <v>0</v>
      </c>
      <c r="BE105" s="8">
        <f t="shared" si="44"/>
        <v>6.25E-2</v>
      </c>
      <c r="BF105" s="8">
        <f t="shared" si="45"/>
        <v>0</v>
      </c>
    </row>
    <row r="106" spans="1:58" x14ac:dyDescent="0.45">
      <c r="A106" s="28"/>
      <c r="T106" s="9" t="e" cm="1">
        <f t="array" ref="T106">TipoDeBorde(S9:T10, $AF$91:$AG$92, $AI$91:$AJ$92, $AL$91:$AM$92, $AO$91:$AP$92, $AR$91:$AS$92)</f>
        <v>#VALUE!</v>
      </c>
      <c r="U106" s="9" t="e" cm="1">
        <f t="array" ref="U106">TipoDeBorde(T9:U10, $AF$91:$AG$92, $AI$91:$AJ$92, $AL$91:$AM$92, $AO$91:$AP$92, $AR$91:$AS$92)</f>
        <v>#VALUE!</v>
      </c>
      <c r="V106" s="9" cm="1">
        <f t="array" ref="V106">TipoDeBorde(U9:V10, $AF$91:$AG$92, $AI$91:$AJ$92, $AL$91:$AM$92, $AO$91:$AP$92, $AR$91:$AS$92)</f>
        <v>1</v>
      </c>
      <c r="W106" s="9" t="e" cm="1">
        <f t="array" ref="W106">TipoDeBorde(V9:W10, $AF$91:$AG$92, $AI$91:$AJ$92, $AL$91:$AM$92, $AO$91:$AP$92, $AR$91:$AS$92)</f>
        <v>#VALUE!</v>
      </c>
      <c r="X106" s="9" t="e" cm="1">
        <f t="array" ref="X106">TipoDeBorde(W9:X10, $AF$91:$AG$92, $AI$91:$AJ$92, $AL$91:$AM$92, $AO$91:$AP$92, $AR$91:$AS$92)</f>
        <v>#VALUE!</v>
      </c>
      <c r="Y106" s="9" cm="1">
        <f t="array" ref="Y106">TipoDeBorde(X9:Y10, $AF$91:$AG$92, $AI$91:$AJ$92, $AL$91:$AM$92, $AO$91:$AP$92, $AR$91:$AS$92)</f>
        <v>1</v>
      </c>
      <c r="Z106" s="9" t="e" cm="1">
        <f t="array" ref="Z106">TipoDeBorde(Y9:Z10, $AF$91:$AG$92, $AI$91:$AJ$92, $AL$91:$AM$92, $AO$91:$AP$92, $AR$91:$AS$92)</f>
        <v>#VALUE!</v>
      </c>
      <c r="AA106" s="9" t="e" cm="1">
        <f t="array" ref="AA106">TipoDeBorde(Z9:AA10, $AF$91:$AG$92, $AI$91:$AJ$92, $AL$91:$AM$92, $AO$91:$AP$92, $AR$91:$AS$92)</f>
        <v>#VALUE!</v>
      </c>
      <c r="AB106" s="9" t="e" cm="1">
        <f t="array" ref="AB106">TipoDeBorde(AA9:AB10, $AF$91:$AG$92, $AI$91:$AJ$92, $AL$91:$AM$92, $AO$91:$AP$92, $AR$91:$AS$92)</f>
        <v>#VALUE!</v>
      </c>
      <c r="AC106" s="9" t="e" cm="1">
        <f t="array" ref="AC106">TipoDeBorde(AB9:AC10, $AF$91:$AG$92, $AI$91:$AJ$92, $AL$91:$AM$92, $AO$91:$AP$92, $AR$91:$AS$92)</f>
        <v>#VALUE!</v>
      </c>
      <c r="AD106" s="9" t="e" cm="1">
        <f t="array" ref="AD106">TipoDeBorde(AC9:AD10, $AF$91:$AG$92, $AI$91:$AJ$92, $AL$91:$AM$92, $AO$91:$AP$92, $AR$91:$AS$92)</f>
        <v>#VALUE!</v>
      </c>
      <c r="AU106" s="1">
        <v>104</v>
      </c>
      <c r="AV106" s="8">
        <f t="shared" si="33"/>
        <v>0</v>
      </c>
      <c r="AW106" s="8">
        <f t="shared" si="34"/>
        <v>0</v>
      </c>
      <c r="AX106" s="8">
        <f t="shared" si="35"/>
        <v>0</v>
      </c>
      <c r="AY106" s="8">
        <f t="shared" si="36"/>
        <v>0</v>
      </c>
      <c r="AZ106" s="8">
        <f t="shared" si="37"/>
        <v>0</v>
      </c>
      <c r="BB106" s="2">
        <v>14</v>
      </c>
      <c r="BC106" s="8">
        <f t="shared" si="42"/>
        <v>0</v>
      </c>
      <c r="BD106" s="8">
        <f t="shared" si="43"/>
        <v>0</v>
      </c>
      <c r="BE106" s="8">
        <f t="shared" si="44"/>
        <v>0</v>
      </c>
      <c r="BF106" s="8">
        <f t="shared" si="45"/>
        <v>0</v>
      </c>
    </row>
    <row r="107" spans="1:58" x14ac:dyDescent="0.45">
      <c r="A107" s="28"/>
      <c r="T107" s="9" t="e" cm="1">
        <f t="array" ref="T107">TipoDeBorde(S10:T11, $AF$91:$AG$92, $AI$91:$AJ$92, $AL$91:$AM$92, $AO$91:$AP$92, $AR$91:$AS$92)</f>
        <v>#VALUE!</v>
      </c>
      <c r="U107" s="9" t="e" cm="1">
        <f t="array" ref="U107">TipoDeBorde(T10:U11, $AF$91:$AG$92, $AI$91:$AJ$92, $AL$91:$AM$92, $AO$91:$AP$92, $AR$91:$AS$92)</f>
        <v>#VALUE!</v>
      </c>
      <c r="V107" s="9" cm="1">
        <f t="array" ref="V107">TipoDeBorde(U10:V11, $AF$91:$AG$92, $AI$91:$AJ$92, $AL$91:$AM$92, $AO$91:$AP$92, $AR$91:$AS$92)</f>
        <v>1</v>
      </c>
      <c r="W107" s="9" t="e" cm="1">
        <f t="array" ref="W107">TipoDeBorde(V10:W11, $AF$91:$AG$92, $AI$91:$AJ$92, $AL$91:$AM$92, $AO$91:$AP$92, $AR$91:$AS$92)</f>
        <v>#VALUE!</v>
      </c>
      <c r="X107" s="9" t="e" cm="1">
        <f t="array" ref="X107">TipoDeBorde(W10:X11, $AF$91:$AG$92, $AI$91:$AJ$92, $AL$91:$AM$92, $AO$91:$AP$92, $AR$91:$AS$92)</f>
        <v>#VALUE!</v>
      </c>
      <c r="Y107" s="9" cm="1">
        <f t="array" ref="Y107">TipoDeBorde(X10:Y11, $AF$91:$AG$92, $AI$91:$AJ$92, $AL$91:$AM$92, $AO$91:$AP$92, $AR$91:$AS$92)</f>
        <v>5</v>
      </c>
      <c r="Z107" s="9" cm="1">
        <f t="array" ref="Z107">TipoDeBorde(Y10:Z11, $AF$91:$AG$92, $AI$91:$AJ$92, $AL$91:$AM$92, $AO$91:$AP$92, $AR$91:$AS$92)</f>
        <v>2</v>
      </c>
      <c r="AA107" s="9" cm="1">
        <f t="array" ref="AA107">TipoDeBorde(Z10:AA11, $AF$91:$AG$92, $AI$91:$AJ$92, $AL$91:$AM$92, $AO$91:$AP$92, $AR$91:$AS$92)</f>
        <v>2</v>
      </c>
      <c r="AB107" s="9" cm="1">
        <f t="array" ref="AB107">TipoDeBorde(AA10:AB11, $AF$91:$AG$92, $AI$91:$AJ$92, $AL$91:$AM$92, $AO$91:$AP$92, $AR$91:$AS$92)</f>
        <v>2</v>
      </c>
      <c r="AC107" s="9" cm="1">
        <f t="array" ref="AC107">TipoDeBorde(AB10:AC11, $AF$91:$AG$92, $AI$91:$AJ$92, $AL$91:$AM$92, $AO$91:$AP$92, $AR$91:$AS$92)</f>
        <v>2</v>
      </c>
      <c r="AD107" s="9" cm="1">
        <f t="array" ref="AD107">TipoDeBorde(AC10:AD11, $AF$91:$AG$92, $AI$91:$AJ$92, $AL$91:$AM$92, $AO$91:$AP$92, $AR$91:$AS$92)</f>
        <v>2</v>
      </c>
      <c r="AU107" s="1">
        <v>105</v>
      </c>
      <c r="AV107" s="8">
        <f t="shared" si="33"/>
        <v>0</v>
      </c>
      <c r="AW107" s="8">
        <f t="shared" si="34"/>
        <v>0</v>
      </c>
      <c r="AX107" s="8">
        <f t="shared" si="35"/>
        <v>0</v>
      </c>
      <c r="AY107" s="8">
        <f t="shared" si="36"/>
        <v>0</v>
      </c>
      <c r="AZ107" s="8">
        <f t="shared" si="37"/>
        <v>0</v>
      </c>
      <c r="BB107" s="2">
        <v>15</v>
      </c>
      <c r="BC107" s="8">
        <f t="shared" si="42"/>
        <v>0</v>
      </c>
      <c r="BD107" s="8">
        <f t="shared" si="43"/>
        <v>0</v>
      </c>
      <c r="BE107" s="8">
        <f t="shared" si="44"/>
        <v>0</v>
      </c>
      <c r="BF107" s="8">
        <f t="shared" si="45"/>
        <v>0</v>
      </c>
    </row>
    <row r="108" spans="1:58" x14ac:dyDescent="0.45">
      <c r="A108" s="28"/>
      <c r="T108" s="9" t="e" cm="1">
        <f t="array" ref="T108">TipoDeBorde(S11:T12, $AF$91:$AG$92, $AI$91:$AJ$92, $AL$91:$AM$92, $AO$91:$AP$92, $AR$91:$AS$92)</f>
        <v>#VALUE!</v>
      </c>
      <c r="U108" s="9" t="e" cm="1">
        <f t="array" ref="U108">TipoDeBorde(T11:U12, $AF$91:$AG$92, $AI$91:$AJ$92, $AL$91:$AM$92, $AO$91:$AP$92, $AR$91:$AS$92)</f>
        <v>#VALUE!</v>
      </c>
      <c r="V108" s="9" cm="1">
        <f t="array" ref="V108">TipoDeBorde(U11:V12, $AF$91:$AG$92, $AI$91:$AJ$92, $AL$91:$AM$92, $AO$91:$AP$92, $AR$91:$AS$92)</f>
        <v>1</v>
      </c>
      <c r="W108" s="9" t="e" cm="1">
        <f t="array" ref="W108">TipoDeBorde(V11:W12, $AF$91:$AG$92, $AI$91:$AJ$92, $AL$91:$AM$92, $AO$91:$AP$92, $AR$91:$AS$92)</f>
        <v>#VALUE!</v>
      </c>
      <c r="X108" s="9" t="e" cm="1">
        <f t="array" ref="X108">TipoDeBorde(W11:X12, $AF$91:$AG$92, $AI$91:$AJ$92, $AL$91:$AM$92, $AO$91:$AP$92, $AR$91:$AS$92)</f>
        <v>#VALUE!</v>
      </c>
      <c r="Y108" s="9" t="e" cm="1">
        <f t="array" ref="Y108">TipoDeBorde(X11:Y12, $AF$91:$AG$92, $AI$91:$AJ$92, $AL$91:$AM$92, $AO$91:$AP$92, $AR$91:$AS$92)</f>
        <v>#VALUE!</v>
      </c>
      <c r="Z108" s="9" t="e" cm="1">
        <f t="array" ref="Z108">TipoDeBorde(Y11:Z12, $AF$91:$AG$92, $AI$91:$AJ$92, $AL$91:$AM$92, $AO$91:$AP$92, $AR$91:$AS$92)</f>
        <v>#VALUE!</v>
      </c>
      <c r="AA108" s="9" t="e" cm="1">
        <f t="array" ref="AA108">TipoDeBorde(Z11:AA12, $AF$91:$AG$92, $AI$91:$AJ$92, $AL$91:$AM$92, $AO$91:$AP$92, $AR$91:$AS$92)</f>
        <v>#VALUE!</v>
      </c>
      <c r="AB108" s="9" t="e" cm="1">
        <f t="array" ref="AB108">TipoDeBorde(AA11:AB12, $AF$91:$AG$92, $AI$91:$AJ$92, $AL$91:$AM$92, $AO$91:$AP$92, $AR$91:$AS$92)</f>
        <v>#VALUE!</v>
      </c>
      <c r="AC108" s="9" t="e" cm="1">
        <f t="array" ref="AC108">TipoDeBorde(AB11:AC12, $AF$91:$AG$92, $AI$91:$AJ$92, $AL$91:$AM$92, $AO$91:$AP$92, $AR$91:$AS$92)</f>
        <v>#VALUE!</v>
      </c>
      <c r="AD108" s="9" t="e" cm="1">
        <f t="array" ref="AD108">TipoDeBorde(AC11:AD12, $AF$91:$AG$92, $AI$91:$AJ$92, $AL$91:$AM$92, $AO$91:$AP$92, $AR$91:$AS$92)</f>
        <v>#VALUE!</v>
      </c>
      <c r="AU108" s="1">
        <v>106</v>
      </c>
      <c r="AV108" s="8">
        <f t="shared" si="33"/>
        <v>0</v>
      </c>
      <c r="AW108" s="8">
        <f t="shared" si="34"/>
        <v>0</v>
      </c>
      <c r="AX108" s="8">
        <f t="shared" si="35"/>
        <v>0</v>
      </c>
      <c r="AY108" s="8">
        <f t="shared" si="36"/>
        <v>0</v>
      </c>
      <c r="AZ108" s="8">
        <f t="shared" si="37"/>
        <v>0</v>
      </c>
      <c r="BB108" s="2">
        <v>16</v>
      </c>
      <c r="BC108" s="8">
        <f t="shared" si="42"/>
        <v>0</v>
      </c>
      <c r="BD108" s="8">
        <f t="shared" si="43"/>
        <v>0</v>
      </c>
      <c r="BE108" s="8">
        <f t="shared" si="44"/>
        <v>0</v>
      </c>
      <c r="BF108" s="8">
        <f t="shared" si="45"/>
        <v>0</v>
      </c>
    </row>
    <row r="109" spans="1:58" x14ac:dyDescent="0.45">
      <c r="A109" s="28"/>
      <c r="T109" s="9" t="e" cm="1">
        <f t="array" ref="T109">TipoDeBorde(S12:T13, $AF$91:$AG$92, $AI$91:$AJ$92, $AL$91:$AM$92, $AO$91:$AP$92, $AR$91:$AS$92)</f>
        <v>#VALUE!</v>
      </c>
      <c r="U109" s="9" t="e" cm="1">
        <f t="array" ref="U109">TipoDeBorde(T12:U13, $AF$91:$AG$92, $AI$91:$AJ$92, $AL$91:$AM$92, $AO$91:$AP$92, $AR$91:$AS$92)</f>
        <v>#VALUE!</v>
      </c>
      <c r="V109" s="9" cm="1">
        <f t="array" ref="V109">TipoDeBorde(U12:V13, $AF$91:$AG$92, $AI$91:$AJ$92, $AL$91:$AM$92, $AO$91:$AP$92, $AR$91:$AS$92)</f>
        <v>1</v>
      </c>
      <c r="W109" s="9" t="e" cm="1">
        <f t="array" ref="W109">TipoDeBorde(V12:W13, $AF$91:$AG$92, $AI$91:$AJ$92, $AL$91:$AM$92, $AO$91:$AP$92, $AR$91:$AS$92)</f>
        <v>#VALUE!</v>
      </c>
      <c r="X109" s="9" t="e" cm="1">
        <f t="array" ref="X109">TipoDeBorde(W12:X13, $AF$91:$AG$92, $AI$91:$AJ$92, $AL$91:$AM$92, $AO$91:$AP$92, $AR$91:$AS$92)</f>
        <v>#VALUE!</v>
      </c>
      <c r="Y109" s="9" t="e" cm="1">
        <f t="array" ref="Y109">TipoDeBorde(X12:Y13, $AF$91:$AG$92, $AI$91:$AJ$92, $AL$91:$AM$92, $AO$91:$AP$92, $AR$91:$AS$92)</f>
        <v>#VALUE!</v>
      </c>
      <c r="Z109" s="9" t="e" cm="1">
        <f t="array" ref="Z109">TipoDeBorde(Y12:Z13, $AF$91:$AG$92, $AI$91:$AJ$92, $AL$91:$AM$92, $AO$91:$AP$92, $AR$91:$AS$92)</f>
        <v>#VALUE!</v>
      </c>
      <c r="AA109" s="9" t="e" cm="1">
        <f t="array" ref="AA109">TipoDeBorde(Z12:AA13, $AF$91:$AG$92, $AI$91:$AJ$92, $AL$91:$AM$92, $AO$91:$AP$92, $AR$91:$AS$92)</f>
        <v>#VALUE!</v>
      </c>
      <c r="AB109" s="9" t="e" cm="1">
        <f t="array" ref="AB109">TipoDeBorde(AA12:AB13, $AF$91:$AG$92, $AI$91:$AJ$92, $AL$91:$AM$92, $AO$91:$AP$92, $AR$91:$AS$92)</f>
        <v>#VALUE!</v>
      </c>
      <c r="AC109" s="9" t="e" cm="1">
        <f t="array" ref="AC109">TipoDeBorde(AB12:AC13, $AF$91:$AG$92, $AI$91:$AJ$92, $AL$91:$AM$92, $AO$91:$AP$92, $AR$91:$AS$92)</f>
        <v>#VALUE!</v>
      </c>
      <c r="AD109" s="9" t="e" cm="1">
        <f t="array" ref="AD109">TipoDeBorde(AC12:AD13, $AF$91:$AG$92, $AI$91:$AJ$92, $AL$91:$AM$92, $AO$91:$AP$92, $AR$91:$AS$92)</f>
        <v>#VALUE!</v>
      </c>
      <c r="AU109" s="1">
        <v>107</v>
      </c>
      <c r="AV109" s="8">
        <f t="shared" si="33"/>
        <v>0</v>
      </c>
      <c r="AW109" s="8">
        <f t="shared" si="34"/>
        <v>0</v>
      </c>
      <c r="AX109" s="8">
        <f t="shared" si="35"/>
        <v>0</v>
      </c>
      <c r="AY109" s="8">
        <f t="shared" si="36"/>
        <v>0</v>
      </c>
      <c r="AZ109" s="8">
        <f t="shared" si="37"/>
        <v>0</v>
      </c>
      <c r="BB109" s="2">
        <v>17</v>
      </c>
      <c r="BC109" s="8">
        <f t="shared" si="42"/>
        <v>0</v>
      </c>
      <c r="BD109" s="8">
        <f t="shared" si="43"/>
        <v>0</v>
      </c>
      <c r="BE109" s="8">
        <f t="shared" si="44"/>
        <v>0</v>
      </c>
      <c r="BF109" s="8">
        <f t="shared" si="45"/>
        <v>0</v>
      </c>
    </row>
    <row r="110" spans="1:58" x14ac:dyDescent="0.45">
      <c r="A110" s="28"/>
      <c r="AU110" s="1">
        <v>108</v>
      </c>
      <c r="AV110" s="8">
        <f t="shared" si="33"/>
        <v>0</v>
      </c>
      <c r="AW110" s="8">
        <f t="shared" si="34"/>
        <v>0</v>
      </c>
      <c r="AX110" s="8">
        <f t="shared" si="35"/>
        <v>0</v>
      </c>
      <c r="AY110" s="8">
        <f t="shared" si="36"/>
        <v>0</v>
      </c>
      <c r="AZ110" s="8">
        <f t="shared" si="37"/>
        <v>0</v>
      </c>
      <c r="BB110" s="2">
        <v>18</v>
      </c>
      <c r="BC110" s="8">
        <f t="shared" si="42"/>
        <v>0</v>
      </c>
      <c r="BD110" s="8">
        <f t="shared" si="43"/>
        <v>0</v>
      </c>
      <c r="BE110" s="8">
        <f t="shared" si="44"/>
        <v>0</v>
      </c>
      <c r="BF110" s="8">
        <f t="shared" si="45"/>
        <v>0</v>
      </c>
    </row>
    <row r="111" spans="1:58" x14ac:dyDescent="0.45">
      <c r="A111" s="28"/>
      <c r="AU111" s="1">
        <v>109</v>
      </c>
      <c r="AV111" s="8">
        <f t="shared" si="33"/>
        <v>0</v>
      </c>
      <c r="AW111" s="8">
        <f t="shared" si="34"/>
        <v>0</v>
      </c>
      <c r="AX111" s="8">
        <f t="shared" si="35"/>
        <v>0</v>
      </c>
      <c r="AY111" s="8">
        <f t="shared" si="36"/>
        <v>0</v>
      </c>
      <c r="AZ111" s="8">
        <f t="shared" si="37"/>
        <v>0</v>
      </c>
      <c r="BB111" s="2">
        <v>19</v>
      </c>
      <c r="BC111" s="8">
        <f t="shared" si="42"/>
        <v>0</v>
      </c>
      <c r="BD111" s="8">
        <f t="shared" si="43"/>
        <v>0</v>
      </c>
      <c r="BE111" s="8">
        <f t="shared" si="44"/>
        <v>0</v>
      </c>
      <c r="BF111" s="8">
        <f t="shared" si="45"/>
        <v>0</v>
      </c>
    </row>
    <row r="112" spans="1:58" x14ac:dyDescent="0.45">
      <c r="A112" s="28"/>
      <c r="AU112" s="1">
        <v>110</v>
      </c>
      <c r="AV112" s="8">
        <f t="shared" si="33"/>
        <v>0</v>
      </c>
      <c r="AW112" s="8">
        <f t="shared" si="34"/>
        <v>0</v>
      </c>
      <c r="AX112" s="8">
        <f t="shared" si="35"/>
        <v>0</v>
      </c>
      <c r="AY112" s="8">
        <f t="shared" si="36"/>
        <v>0</v>
      </c>
      <c r="AZ112" s="8">
        <f t="shared" si="37"/>
        <v>0</v>
      </c>
      <c r="BB112" s="2">
        <v>20</v>
      </c>
      <c r="BC112" s="8">
        <f t="shared" si="42"/>
        <v>0</v>
      </c>
      <c r="BD112" s="8">
        <f t="shared" si="43"/>
        <v>0</v>
      </c>
      <c r="BE112" s="8">
        <f t="shared" si="44"/>
        <v>0</v>
      </c>
      <c r="BF112" s="8">
        <f t="shared" si="45"/>
        <v>0</v>
      </c>
    </row>
    <row r="113" spans="1:58" x14ac:dyDescent="0.45">
      <c r="A113" s="28"/>
      <c r="AU113" s="1">
        <v>111</v>
      </c>
      <c r="AV113" s="8">
        <f t="shared" si="33"/>
        <v>0</v>
      </c>
      <c r="AW113" s="8">
        <f t="shared" si="34"/>
        <v>0</v>
      </c>
      <c r="AX113" s="8">
        <f t="shared" si="35"/>
        <v>0</v>
      </c>
      <c r="AY113" s="8">
        <f t="shared" si="36"/>
        <v>0</v>
      </c>
      <c r="AZ113" s="8">
        <f t="shared" si="37"/>
        <v>0</v>
      </c>
      <c r="BB113" s="2">
        <v>21</v>
      </c>
      <c r="BC113" s="8">
        <f t="shared" si="42"/>
        <v>0</v>
      </c>
      <c r="BD113" s="8">
        <f t="shared" si="43"/>
        <v>0</v>
      </c>
      <c r="BE113" s="8">
        <f t="shared" si="44"/>
        <v>0</v>
      </c>
      <c r="BF113" s="8">
        <f t="shared" si="45"/>
        <v>0</v>
      </c>
    </row>
    <row r="114" spans="1:58" x14ac:dyDescent="0.45">
      <c r="A114" s="28"/>
      <c r="AU114" s="1">
        <v>112</v>
      </c>
      <c r="AV114" s="8">
        <f t="shared" si="33"/>
        <v>0</v>
      </c>
      <c r="AW114" s="8">
        <f t="shared" si="34"/>
        <v>0</v>
      </c>
      <c r="AX114" s="8">
        <f t="shared" si="35"/>
        <v>0</v>
      </c>
      <c r="AY114" s="8">
        <f t="shared" si="36"/>
        <v>0</v>
      </c>
      <c r="AZ114" s="8">
        <f t="shared" si="37"/>
        <v>0</v>
      </c>
      <c r="BB114" s="2">
        <v>22</v>
      </c>
      <c r="BC114" s="8">
        <f t="shared" si="42"/>
        <v>0</v>
      </c>
      <c r="BD114" s="8">
        <f t="shared" si="43"/>
        <v>0</v>
      </c>
      <c r="BE114" s="8">
        <f t="shared" si="44"/>
        <v>0</v>
      </c>
      <c r="BF114" s="8">
        <f t="shared" si="45"/>
        <v>0</v>
      </c>
    </row>
    <row r="115" spans="1:58" x14ac:dyDescent="0.45">
      <c r="A115" s="28"/>
      <c r="AU115" s="1">
        <v>113</v>
      </c>
      <c r="AV115" s="8">
        <f t="shared" si="33"/>
        <v>0</v>
      </c>
      <c r="AW115" s="8">
        <f t="shared" si="34"/>
        <v>0</v>
      </c>
      <c r="AX115" s="8">
        <f t="shared" si="35"/>
        <v>0</v>
      </c>
      <c r="AY115" s="8">
        <f t="shared" si="36"/>
        <v>0</v>
      </c>
      <c r="AZ115" s="8">
        <f t="shared" si="37"/>
        <v>0</v>
      </c>
      <c r="BB115" s="2">
        <v>23</v>
      </c>
      <c r="BC115" s="8">
        <f t="shared" si="42"/>
        <v>0</v>
      </c>
      <c r="BD115" s="8">
        <f t="shared" si="43"/>
        <v>0</v>
      </c>
      <c r="BE115" s="8">
        <f t="shared" si="44"/>
        <v>0</v>
      </c>
      <c r="BF115" s="8">
        <f t="shared" si="45"/>
        <v>0</v>
      </c>
    </row>
    <row r="116" spans="1:58" x14ac:dyDescent="0.45">
      <c r="AU116" s="1">
        <v>114</v>
      </c>
      <c r="AV116" s="8">
        <f t="shared" si="33"/>
        <v>0</v>
      </c>
      <c r="AW116" s="8">
        <f t="shared" si="34"/>
        <v>0</v>
      </c>
      <c r="AX116" s="8">
        <f t="shared" si="35"/>
        <v>0</v>
      </c>
      <c r="AY116" s="8">
        <f t="shared" si="36"/>
        <v>0</v>
      </c>
      <c r="AZ116" s="8">
        <f t="shared" si="37"/>
        <v>0</v>
      </c>
      <c r="BB116" s="2">
        <v>24</v>
      </c>
      <c r="BC116" s="8">
        <f t="shared" si="42"/>
        <v>0</v>
      </c>
      <c r="BD116" s="8">
        <f t="shared" si="43"/>
        <v>0</v>
      </c>
      <c r="BE116" s="8">
        <f t="shared" si="44"/>
        <v>0</v>
      </c>
      <c r="BF116" s="8">
        <f t="shared" si="45"/>
        <v>0</v>
      </c>
    </row>
    <row r="117" spans="1:58" x14ac:dyDescent="0.45">
      <c r="AU117" s="1">
        <v>115</v>
      </c>
      <c r="AV117" s="8">
        <f t="shared" si="33"/>
        <v>0</v>
      </c>
      <c r="AW117" s="8">
        <f t="shared" si="34"/>
        <v>0</v>
      </c>
      <c r="AX117" s="8">
        <f t="shared" si="35"/>
        <v>0</v>
      </c>
      <c r="AY117" s="8">
        <f t="shared" si="36"/>
        <v>0</v>
      </c>
      <c r="AZ117" s="8">
        <f t="shared" si="37"/>
        <v>0</v>
      </c>
      <c r="BB117" s="2">
        <v>25</v>
      </c>
      <c r="BC117" s="8">
        <f t="shared" si="42"/>
        <v>0</v>
      </c>
      <c r="BD117" s="8">
        <f t="shared" si="43"/>
        <v>0</v>
      </c>
      <c r="BE117" s="8">
        <f t="shared" si="44"/>
        <v>0</v>
      </c>
      <c r="BF117" s="8">
        <f t="shared" si="45"/>
        <v>0</v>
      </c>
    </row>
    <row r="118" spans="1:58" x14ac:dyDescent="0.45">
      <c r="AU118" s="1">
        <v>116</v>
      </c>
      <c r="AV118" s="8">
        <f t="shared" si="33"/>
        <v>0</v>
      </c>
      <c r="AW118" s="8">
        <f t="shared" si="34"/>
        <v>0</v>
      </c>
      <c r="AX118" s="8">
        <f t="shared" si="35"/>
        <v>0</v>
      </c>
      <c r="AY118" s="8">
        <f t="shared" si="36"/>
        <v>0</v>
      </c>
      <c r="AZ118" s="8">
        <f t="shared" si="37"/>
        <v>0</v>
      </c>
      <c r="BB118" s="2">
        <v>26</v>
      </c>
      <c r="BC118" s="8">
        <f t="shared" si="42"/>
        <v>0.1111111111111111</v>
      </c>
      <c r="BD118" s="8">
        <f t="shared" si="43"/>
        <v>0</v>
      </c>
      <c r="BE118" s="8">
        <f t="shared" si="44"/>
        <v>0</v>
      </c>
      <c r="BF118" s="8">
        <f t="shared" si="45"/>
        <v>0</v>
      </c>
    </row>
    <row r="119" spans="1:58" x14ac:dyDescent="0.45">
      <c r="AU119" s="1">
        <v>117</v>
      </c>
      <c r="AV119" s="8">
        <f t="shared" si="33"/>
        <v>0</v>
      </c>
      <c r="AW119" s="8">
        <f t="shared" si="34"/>
        <v>0</v>
      </c>
      <c r="AX119" s="8">
        <f t="shared" si="35"/>
        <v>0</v>
      </c>
      <c r="AY119" s="8">
        <f t="shared" si="36"/>
        <v>0</v>
      </c>
      <c r="AZ119" s="8">
        <f t="shared" si="37"/>
        <v>0</v>
      </c>
      <c r="BB119" s="2">
        <v>27</v>
      </c>
      <c r="BC119" s="8">
        <f t="shared" si="42"/>
        <v>0</v>
      </c>
      <c r="BD119" s="8">
        <f t="shared" si="43"/>
        <v>0</v>
      </c>
      <c r="BE119" s="8">
        <f t="shared" si="44"/>
        <v>0</v>
      </c>
      <c r="BF119" s="8">
        <f t="shared" si="45"/>
        <v>0</v>
      </c>
    </row>
    <row r="120" spans="1:58" x14ac:dyDescent="0.45">
      <c r="AU120" s="1">
        <v>118</v>
      </c>
      <c r="AV120" s="8">
        <f t="shared" si="33"/>
        <v>0</v>
      </c>
      <c r="AW120" s="8">
        <f t="shared" si="34"/>
        <v>0</v>
      </c>
      <c r="AX120" s="8">
        <f t="shared" si="35"/>
        <v>0</v>
      </c>
      <c r="AY120" s="8">
        <f t="shared" si="36"/>
        <v>0</v>
      </c>
      <c r="AZ120" s="8">
        <f t="shared" si="37"/>
        <v>0</v>
      </c>
      <c r="BB120" s="2">
        <v>28</v>
      </c>
      <c r="BC120" s="8">
        <f t="shared" si="42"/>
        <v>0</v>
      </c>
      <c r="BD120" s="8">
        <f t="shared" si="43"/>
        <v>0</v>
      </c>
      <c r="BE120" s="8">
        <f t="shared" si="44"/>
        <v>0</v>
      </c>
      <c r="BF120" s="8">
        <f t="shared" si="45"/>
        <v>0</v>
      </c>
    </row>
    <row r="121" spans="1:58" x14ac:dyDescent="0.45">
      <c r="AU121" s="1">
        <v>119</v>
      </c>
      <c r="AV121" s="8">
        <f t="shared" si="33"/>
        <v>0</v>
      </c>
      <c r="AW121" s="8">
        <f t="shared" si="34"/>
        <v>0</v>
      </c>
      <c r="AX121" s="8">
        <f t="shared" si="35"/>
        <v>0</v>
      </c>
      <c r="AY121" s="8">
        <f t="shared" si="36"/>
        <v>0</v>
      </c>
      <c r="AZ121" s="8">
        <f t="shared" si="37"/>
        <v>0</v>
      </c>
      <c r="BB121" s="2">
        <v>29</v>
      </c>
      <c r="BC121" s="8">
        <f t="shared" si="42"/>
        <v>0</v>
      </c>
      <c r="BD121" s="8">
        <f t="shared" si="43"/>
        <v>0</v>
      </c>
      <c r="BE121" s="8">
        <f t="shared" si="44"/>
        <v>0</v>
      </c>
      <c r="BF121" s="8">
        <f t="shared" si="45"/>
        <v>0</v>
      </c>
    </row>
    <row r="122" spans="1:58" x14ac:dyDescent="0.45">
      <c r="AU122" s="1">
        <v>120</v>
      </c>
      <c r="AV122" s="8">
        <f t="shared" si="33"/>
        <v>0</v>
      </c>
      <c r="AW122" s="8">
        <f t="shared" si="34"/>
        <v>0</v>
      </c>
      <c r="AX122" s="8">
        <f t="shared" si="35"/>
        <v>0</v>
      </c>
      <c r="AY122" s="8">
        <f t="shared" si="36"/>
        <v>0</v>
      </c>
      <c r="AZ122" s="8">
        <f t="shared" si="37"/>
        <v>0</v>
      </c>
      <c r="BB122" s="2">
        <v>30</v>
      </c>
      <c r="BC122" s="8">
        <f t="shared" si="42"/>
        <v>0</v>
      </c>
      <c r="BD122" s="8">
        <f t="shared" si="43"/>
        <v>0</v>
      </c>
      <c r="BE122" s="8">
        <f t="shared" si="44"/>
        <v>0</v>
      </c>
      <c r="BF122" s="8">
        <f t="shared" si="45"/>
        <v>0</v>
      </c>
    </row>
    <row r="123" spans="1:58" x14ac:dyDescent="0.45">
      <c r="AU123" s="1">
        <v>121</v>
      </c>
      <c r="AV123" s="8">
        <f t="shared" si="33"/>
        <v>0</v>
      </c>
      <c r="AW123" s="8">
        <f t="shared" si="34"/>
        <v>0</v>
      </c>
      <c r="AX123" s="8">
        <f t="shared" si="35"/>
        <v>0</v>
      </c>
      <c r="AY123" s="8">
        <f t="shared" si="36"/>
        <v>0</v>
      </c>
      <c r="AZ123" s="8">
        <f t="shared" si="37"/>
        <v>0</v>
      </c>
      <c r="BB123" s="2">
        <v>31</v>
      </c>
      <c r="BC123" s="8">
        <f t="shared" si="42"/>
        <v>0</v>
      </c>
      <c r="BD123" s="8">
        <f t="shared" si="43"/>
        <v>0</v>
      </c>
      <c r="BE123" s="8">
        <f t="shared" si="44"/>
        <v>0</v>
      </c>
      <c r="BF123" s="8">
        <f t="shared" si="45"/>
        <v>0</v>
      </c>
    </row>
    <row r="124" spans="1:58" x14ac:dyDescent="0.45">
      <c r="AU124" s="1">
        <v>122</v>
      </c>
      <c r="AV124" s="8">
        <f t="shared" si="33"/>
        <v>0</v>
      </c>
      <c r="AW124" s="8">
        <f t="shared" si="34"/>
        <v>0</v>
      </c>
      <c r="AX124" s="8">
        <f t="shared" si="35"/>
        <v>0</v>
      </c>
      <c r="AY124" s="8">
        <f t="shared" si="36"/>
        <v>0</v>
      </c>
      <c r="AZ124" s="8">
        <f t="shared" si="37"/>
        <v>0</v>
      </c>
      <c r="BB124" s="2">
        <v>32</v>
      </c>
      <c r="BC124" s="8">
        <f t="shared" si="42"/>
        <v>0</v>
      </c>
      <c r="BD124" s="8">
        <f t="shared" si="43"/>
        <v>0</v>
      </c>
      <c r="BE124" s="8">
        <f t="shared" si="44"/>
        <v>0</v>
      </c>
      <c r="BF124" s="8">
        <f t="shared" si="45"/>
        <v>0</v>
      </c>
    </row>
    <row r="125" spans="1:58" x14ac:dyDescent="0.45">
      <c r="AU125" s="1">
        <v>123</v>
      </c>
      <c r="AV125" s="8">
        <f t="shared" si="33"/>
        <v>0</v>
      </c>
      <c r="AW125" s="8">
        <f t="shared" si="34"/>
        <v>0</v>
      </c>
      <c r="AX125" s="8">
        <f t="shared" si="35"/>
        <v>0</v>
      </c>
      <c r="AY125" s="8">
        <f t="shared" si="36"/>
        <v>0</v>
      </c>
      <c r="AZ125" s="8">
        <f t="shared" si="37"/>
        <v>0</v>
      </c>
      <c r="BB125" s="2">
        <v>33</v>
      </c>
      <c r="BC125" s="8">
        <f t="shared" si="42"/>
        <v>0</v>
      </c>
      <c r="BD125" s="8">
        <f t="shared" si="43"/>
        <v>0</v>
      </c>
      <c r="BE125" s="8">
        <f t="shared" si="44"/>
        <v>0</v>
      </c>
      <c r="BF125" s="8">
        <f t="shared" si="45"/>
        <v>0</v>
      </c>
    </row>
    <row r="126" spans="1:58" x14ac:dyDescent="0.45">
      <c r="AU126" s="1">
        <v>124</v>
      </c>
      <c r="AV126" s="8">
        <f t="shared" si="33"/>
        <v>0</v>
      </c>
      <c r="AW126" s="8">
        <f t="shared" si="34"/>
        <v>0</v>
      </c>
      <c r="AX126" s="8">
        <f t="shared" si="35"/>
        <v>0</v>
      </c>
      <c r="AY126" s="8">
        <f t="shared" si="36"/>
        <v>0</v>
      </c>
      <c r="AZ126" s="8">
        <f t="shared" si="37"/>
        <v>0</v>
      </c>
      <c r="BB126" s="2">
        <v>34</v>
      </c>
      <c r="BC126" s="8">
        <f t="shared" si="42"/>
        <v>0</v>
      </c>
      <c r="BD126" s="8">
        <f t="shared" si="43"/>
        <v>0</v>
      </c>
      <c r="BE126" s="8">
        <f t="shared" si="44"/>
        <v>0</v>
      </c>
      <c r="BF126" s="8">
        <f t="shared" si="45"/>
        <v>0</v>
      </c>
    </row>
    <row r="127" spans="1:58" x14ac:dyDescent="0.45">
      <c r="AU127" s="1">
        <v>125</v>
      </c>
      <c r="AV127" s="8">
        <f t="shared" si="33"/>
        <v>0</v>
      </c>
      <c r="AW127" s="8">
        <f t="shared" si="34"/>
        <v>0</v>
      </c>
      <c r="AX127" s="8">
        <f t="shared" si="35"/>
        <v>0</v>
      </c>
      <c r="AY127" s="8">
        <f t="shared" si="36"/>
        <v>0</v>
      </c>
      <c r="AZ127" s="8">
        <f t="shared" si="37"/>
        <v>0</v>
      </c>
      <c r="BB127" s="2">
        <v>35</v>
      </c>
      <c r="BC127" s="8">
        <f t="shared" si="42"/>
        <v>0</v>
      </c>
      <c r="BD127" s="8">
        <f t="shared" si="43"/>
        <v>0</v>
      </c>
      <c r="BE127" s="8">
        <f t="shared" si="44"/>
        <v>0</v>
      </c>
      <c r="BF127" s="8">
        <f t="shared" si="45"/>
        <v>0</v>
      </c>
    </row>
    <row r="128" spans="1:58" x14ac:dyDescent="0.45">
      <c r="AU128" s="1">
        <v>126</v>
      </c>
      <c r="AV128" s="8">
        <f t="shared" si="33"/>
        <v>0</v>
      </c>
      <c r="AW128" s="8">
        <f t="shared" si="34"/>
        <v>0</v>
      </c>
      <c r="AX128" s="8">
        <f t="shared" si="35"/>
        <v>0</v>
      </c>
      <c r="AY128" s="8">
        <f t="shared" si="36"/>
        <v>0</v>
      </c>
      <c r="AZ128" s="8">
        <f t="shared" si="37"/>
        <v>0</v>
      </c>
      <c r="BB128" s="2">
        <v>36</v>
      </c>
      <c r="BC128" s="8">
        <f t="shared" si="42"/>
        <v>0</v>
      </c>
      <c r="BD128" s="8">
        <f t="shared" si="43"/>
        <v>0</v>
      </c>
      <c r="BE128" s="8">
        <f t="shared" si="44"/>
        <v>0</v>
      </c>
      <c r="BF128" s="8">
        <f t="shared" si="45"/>
        <v>0</v>
      </c>
    </row>
    <row r="129" spans="47:58" x14ac:dyDescent="0.45">
      <c r="AU129" s="1">
        <v>127</v>
      </c>
      <c r="AV129" s="8">
        <f t="shared" si="33"/>
        <v>0</v>
      </c>
      <c r="AW129" s="8">
        <f t="shared" si="34"/>
        <v>0</v>
      </c>
      <c r="AX129" s="8">
        <f t="shared" si="35"/>
        <v>0</v>
      </c>
      <c r="AY129" s="8">
        <f t="shared" si="36"/>
        <v>0</v>
      </c>
      <c r="AZ129" s="8">
        <f t="shared" si="37"/>
        <v>0</v>
      </c>
      <c r="BB129" s="2">
        <v>37</v>
      </c>
      <c r="BC129" s="8">
        <f t="shared" si="42"/>
        <v>0</v>
      </c>
      <c r="BD129" s="8">
        <f t="shared" si="43"/>
        <v>0</v>
      </c>
      <c r="BE129" s="8">
        <f t="shared" si="44"/>
        <v>0</v>
      </c>
      <c r="BF129" s="8">
        <f t="shared" si="45"/>
        <v>0</v>
      </c>
    </row>
    <row r="130" spans="47:58" x14ac:dyDescent="0.45">
      <c r="AU130" s="1">
        <v>128</v>
      </c>
      <c r="AV130" s="8">
        <f t="shared" ref="AV130:AV193" si="46">COUNTIF($S$2:$AD$13,  $AU130)/(12*12)</f>
        <v>0.25</v>
      </c>
      <c r="AW130" s="8">
        <f t="shared" ref="AW130:AW193" si="47">COUNTIF($S$2:$X$7,  $AU130)/(6*6)</f>
        <v>1</v>
      </c>
      <c r="AX130" s="8">
        <f t="shared" ref="AX130:AX193" si="48">COUNTIF($Y$2:$AD$7,  $AU130)/(6*6)</f>
        <v>0</v>
      </c>
      <c r="AY130" s="8">
        <f t="shared" ref="AY130:AY193" si="49">COUNTIF($S$8:$X$13,  $AU130)/(6*6)</f>
        <v>0</v>
      </c>
      <c r="AZ130" s="8">
        <f t="shared" ref="AZ130:AZ193" si="50">COUNTIF($Y$8:$AD$13,  $AU130)/(6*6)</f>
        <v>0</v>
      </c>
      <c r="BB130" s="2">
        <v>38</v>
      </c>
      <c r="BC130" s="8">
        <f t="shared" ref="BC130:BC161" si="51">COUNTIFS($T$71:$X$75,  "&gt;="&amp;$BB130, $T$71:$X$75,  "&lt;"&amp;($BB130+1)) / COUNT($T$71:$X$75)</f>
        <v>0</v>
      </c>
      <c r="BD130" s="8">
        <f t="shared" ref="BD130:BD161" si="52">COUNTIFS($Y$71:$AC$75,  "&gt;="&amp;$BB130, $Y$71:$AC$75,  "&lt;"&amp;($BB130+1)) / COUNT($Y$71:$AC$75)</f>
        <v>0</v>
      </c>
      <c r="BE130" s="8">
        <f t="shared" ref="BE130:BE161" si="53">COUNTIFS($T$76:$X$80,  "&gt;="&amp;$BB130, $T$76:$X$80,  "&lt;"&amp;($BB130+1)) / COUNT($T$76:$X$80)</f>
        <v>0</v>
      </c>
      <c r="BF130" s="8">
        <f t="shared" ref="BF130:BF161" si="54">COUNTIFS($Y$76:$AC$80,  "&gt;="&amp;$BB130, $Y$76:$AC$80,  "&lt;"&amp;($BB130+1)) / COUNT($Y$76:$AC$80)</f>
        <v>0</v>
      </c>
    </row>
    <row r="131" spans="47:58" x14ac:dyDescent="0.45">
      <c r="AU131" s="1">
        <v>129</v>
      </c>
      <c r="AV131" s="8">
        <f t="shared" si="46"/>
        <v>0</v>
      </c>
      <c r="AW131" s="8">
        <f t="shared" si="47"/>
        <v>0</v>
      </c>
      <c r="AX131" s="8">
        <f t="shared" si="48"/>
        <v>0</v>
      </c>
      <c r="AY131" s="8">
        <f t="shared" si="49"/>
        <v>0</v>
      </c>
      <c r="AZ131" s="8">
        <f t="shared" si="50"/>
        <v>0</v>
      </c>
      <c r="BB131" s="2">
        <v>39</v>
      </c>
      <c r="BC131" s="8">
        <f t="shared" si="51"/>
        <v>0</v>
      </c>
      <c r="BD131" s="8">
        <f t="shared" si="52"/>
        <v>0</v>
      </c>
      <c r="BE131" s="8">
        <f t="shared" si="53"/>
        <v>0</v>
      </c>
      <c r="BF131" s="8">
        <f t="shared" si="54"/>
        <v>0</v>
      </c>
    </row>
    <row r="132" spans="47:58" x14ac:dyDescent="0.45">
      <c r="AU132" s="1">
        <v>130</v>
      </c>
      <c r="AV132" s="8">
        <f t="shared" si="46"/>
        <v>0</v>
      </c>
      <c r="AW132" s="8">
        <f t="shared" si="47"/>
        <v>0</v>
      </c>
      <c r="AX132" s="8">
        <f t="shared" si="48"/>
        <v>0</v>
      </c>
      <c r="AY132" s="8">
        <f t="shared" si="49"/>
        <v>0</v>
      </c>
      <c r="AZ132" s="8">
        <f t="shared" si="50"/>
        <v>0</v>
      </c>
      <c r="BB132" s="2">
        <v>40</v>
      </c>
      <c r="BC132" s="8">
        <f t="shared" si="51"/>
        <v>0</v>
      </c>
      <c r="BD132" s="8">
        <f t="shared" si="52"/>
        <v>0</v>
      </c>
      <c r="BE132" s="8">
        <f t="shared" si="53"/>
        <v>0</v>
      </c>
      <c r="BF132" s="8">
        <f t="shared" si="54"/>
        <v>0</v>
      </c>
    </row>
    <row r="133" spans="47:58" x14ac:dyDescent="0.45">
      <c r="AU133" s="1">
        <v>131</v>
      </c>
      <c r="AV133" s="8">
        <f t="shared" si="46"/>
        <v>0</v>
      </c>
      <c r="AW133" s="8">
        <f t="shared" si="47"/>
        <v>0</v>
      </c>
      <c r="AX133" s="8">
        <f t="shared" si="48"/>
        <v>0</v>
      </c>
      <c r="AY133" s="8">
        <f t="shared" si="49"/>
        <v>0</v>
      </c>
      <c r="AZ133" s="8">
        <f t="shared" si="50"/>
        <v>0</v>
      </c>
      <c r="BB133" s="2">
        <v>41</v>
      </c>
      <c r="BC133" s="8">
        <f t="shared" si="51"/>
        <v>0</v>
      </c>
      <c r="BD133" s="8">
        <f t="shared" si="52"/>
        <v>0</v>
      </c>
      <c r="BE133" s="8">
        <f t="shared" si="53"/>
        <v>0</v>
      </c>
      <c r="BF133" s="8">
        <f t="shared" si="54"/>
        <v>0</v>
      </c>
    </row>
    <row r="134" spans="47:58" x14ac:dyDescent="0.45">
      <c r="AU134" s="1">
        <v>132</v>
      </c>
      <c r="AV134" s="8">
        <f t="shared" si="46"/>
        <v>0</v>
      </c>
      <c r="AW134" s="8">
        <f t="shared" si="47"/>
        <v>0</v>
      </c>
      <c r="AX134" s="8">
        <f t="shared" si="48"/>
        <v>0</v>
      </c>
      <c r="AY134" s="8">
        <f t="shared" si="49"/>
        <v>0</v>
      </c>
      <c r="AZ134" s="8">
        <f t="shared" si="50"/>
        <v>0</v>
      </c>
      <c r="BB134" s="2">
        <v>42</v>
      </c>
      <c r="BC134" s="8">
        <f t="shared" si="51"/>
        <v>0</v>
      </c>
      <c r="BD134" s="8">
        <f t="shared" si="52"/>
        <v>0</v>
      </c>
      <c r="BE134" s="8">
        <f t="shared" si="53"/>
        <v>0</v>
      </c>
      <c r="BF134" s="8">
        <f t="shared" si="54"/>
        <v>0</v>
      </c>
    </row>
    <row r="135" spans="47:58" x14ac:dyDescent="0.45">
      <c r="AU135" s="1">
        <v>133</v>
      </c>
      <c r="AV135" s="8">
        <f t="shared" si="46"/>
        <v>0</v>
      </c>
      <c r="AW135" s="8">
        <f t="shared" si="47"/>
        <v>0</v>
      </c>
      <c r="AX135" s="8">
        <f t="shared" si="48"/>
        <v>0</v>
      </c>
      <c r="AY135" s="8">
        <f t="shared" si="49"/>
        <v>0</v>
      </c>
      <c r="AZ135" s="8">
        <f t="shared" si="50"/>
        <v>0</v>
      </c>
      <c r="BB135" s="2">
        <v>43</v>
      </c>
      <c r="BC135" s="8">
        <f t="shared" si="51"/>
        <v>0</v>
      </c>
      <c r="BD135" s="8">
        <f t="shared" si="52"/>
        <v>0</v>
      </c>
      <c r="BE135" s="8">
        <f t="shared" si="53"/>
        <v>0</v>
      </c>
      <c r="BF135" s="8">
        <f t="shared" si="54"/>
        <v>0</v>
      </c>
    </row>
    <row r="136" spans="47:58" x14ac:dyDescent="0.45">
      <c r="AU136" s="1">
        <v>134</v>
      </c>
      <c r="AV136" s="8">
        <f t="shared" si="46"/>
        <v>0</v>
      </c>
      <c r="AW136" s="8">
        <f t="shared" si="47"/>
        <v>0</v>
      </c>
      <c r="AX136" s="8">
        <f t="shared" si="48"/>
        <v>0</v>
      </c>
      <c r="AY136" s="8">
        <f t="shared" si="49"/>
        <v>0</v>
      </c>
      <c r="AZ136" s="8">
        <f t="shared" si="50"/>
        <v>0</v>
      </c>
      <c r="BB136" s="2">
        <v>44</v>
      </c>
      <c r="BC136" s="8">
        <f t="shared" si="51"/>
        <v>0</v>
      </c>
      <c r="BD136" s="8">
        <f t="shared" si="52"/>
        <v>0</v>
      </c>
      <c r="BE136" s="8">
        <f t="shared" si="53"/>
        <v>0</v>
      </c>
      <c r="BF136" s="8">
        <f t="shared" si="54"/>
        <v>0</v>
      </c>
    </row>
    <row r="137" spans="47:58" x14ac:dyDescent="0.45">
      <c r="AU137" s="1">
        <v>135</v>
      </c>
      <c r="AV137" s="8">
        <f t="shared" si="46"/>
        <v>0</v>
      </c>
      <c r="AW137" s="8">
        <f t="shared" si="47"/>
        <v>0</v>
      </c>
      <c r="AX137" s="8">
        <f t="shared" si="48"/>
        <v>0</v>
      </c>
      <c r="AY137" s="8">
        <f t="shared" si="49"/>
        <v>0</v>
      </c>
      <c r="AZ137" s="8">
        <f t="shared" si="50"/>
        <v>0</v>
      </c>
      <c r="BB137" s="2">
        <v>45</v>
      </c>
      <c r="BC137" s="8">
        <f t="shared" si="51"/>
        <v>0</v>
      </c>
      <c r="BD137" s="8">
        <f t="shared" si="52"/>
        <v>0.5714285714285714</v>
      </c>
      <c r="BE137" s="8">
        <f t="shared" si="53"/>
        <v>0</v>
      </c>
      <c r="BF137" s="8">
        <f t="shared" si="54"/>
        <v>6.25E-2</v>
      </c>
    </row>
    <row r="138" spans="47:58" x14ac:dyDescent="0.45">
      <c r="AU138" s="1">
        <v>136</v>
      </c>
      <c r="AV138" s="8">
        <f t="shared" si="46"/>
        <v>0</v>
      </c>
      <c r="AW138" s="8">
        <f t="shared" si="47"/>
        <v>0</v>
      </c>
      <c r="AX138" s="8">
        <f t="shared" si="48"/>
        <v>0</v>
      </c>
      <c r="AY138" s="8">
        <f t="shared" si="49"/>
        <v>0</v>
      </c>
      <c r="AZ138" s="8">
        <f t="shared" si="50"/>
        <v>0</v>
      </c>
      <c r="BB138" s="2">
        <v>46</v>
      </c>
      <c r="BC138" s="8">
        <f t="shared" si="51"/>
        <v>0</v>
      </c>
      <c r="BD138" s="8">
        <f t="shared" si="52"/>
        <v>0</v>
      </c>
      <c r="BE138" s="8">
        <f t="shared" si="53"/>
        <v>0</v>
      </c>
      <c r="BF138" s="8">
        <f t="shared" si="54"/>
        <v>0</v>
      </c>
    </row>
    <row r="139" spans="47:58" x14ac:dyDescent="0.45">
      <c r="AU139" s="1">
        <v>137</v>
      </c>
      <c r="AV139" s="8">
        <f t="shared" si="46"/>
        <v>0</v>
      </c>
      <c r="AW139" s="8">
        <f t="shared" si="47"/>
        <v>0</v>
      </c>
      <c r="AX139" s="8">
        <f t="shared" si="48"/>
        <v>0</v>
      </c>
      <c r="AY139" s="8">
        <f t="shared" si="49"/>
        <v>0</v>
      </c>
      <c r="AZ139" s="8">
        <f t="shared" si="50"/>
        <v>0</v>
      </c>
      <c r="BB139" s="2">
        <v>47</v>
      </c>
      <c r="BC139" s="8">
        <f t="shared" si="51"/>
        <v>0</v>
      </c>
      <c r="BD139" s="8">
        <f t="shared" si="52"/>
        <v>0</v>
      </c>
      <c r="BE139" s="8">
        <f t="shared" si="53"/>
        <v>0</v>
      </c>
      <c r="BF139" s="8">
        <f t="shared" si="54"/>
        <v>0</v>
      </c>
    </row>
    <row r="140" spans="47:58" x14ac:dyDescent="0.45">
      <c r="AU140" s="1">
        <v>138</v>
      </c>
      <c r="AV140" s="8">
        <f t="shared" si="46"/>
        <v>0</v>
      </c>
      <c r="AW140" s="8">
        <f t="shared" si="47"/>
        <v>0</v>
      </c>
      <c r="AX140" s="8">
        <f t="shared" si="48"/>
        <v>0</v>
      </c>
      <c r="AY140" s="8">
        <f t="shared" si="49"/>
        <v>0</v>
      </c>
      <c r="AZ140" s="8">
        <f t="shared" si="50"/>
        <v>0</v>
      </c>
      <c r="BB140" s="2">
        <v>48</v>
      </c>
      <c r="BC140" s="8">
        <f t="shared" si="51"/>
        <v>0</v>
      </c>
      <c r="BD140" s="8">
        <f t="shared" si="52"/>
        <v>0</v>
      </c>
      <c r="BE140" s="8">
        <f t="shared" si="53"/>
        <v>0</v>
      </c>
      <c r="BF140" s="8">
        <f t="shared" si="54"/>
        <v>0</v>
      </c>
    </row>
    <row r="141" spans="47:58" x14ac:dyDescent="0.45">
      <c r="AU141" s="1">
        <v>139</v>
      </c>
      <c r="AV141" s="8">
        <f t="shared" si="46"/>
        <v>0</v>
      </c>
      <c r="AW141" s="8">
        <f t="shared" si="47"/>
        <v>0</v>
      </c>
      <c r="AX141" s="8">
        <f t="shared" si="48"/>
        <v>0</v>
      </c>
      <c r="AY141" s="8">
        <f t="shared" si="49"/>
        <v>0</v>
      </c>
      <c r="AZ141" s="8">
        <f t="shared" si="50"/>
        <v>0</v>
      </c>
      <c r="BB141" s="2">
        <v>49</v>
      </c>
      <c r="BC141" s="8">
        <f t="shared" si="51"/>
        <v>0</v>
      </c>
      <c r="BD141" s="8">
        <f t="shared" si="52"/>
        <v>0</v>
      </c>
      <c r="BE141" s="8">
        <f t="shared" si="53"/>
        <v>0</v>
      </c>
      <c r="BF141" s="8">
        <f t="shared" si="54"/>
        <v>0</v>
      </c>
    </row>
    <row r="142" spans="47:58" x14ac:dyDescent="0.45">
      <c r="AU142" s="1">
        <v>140</v>
      </c>
      <c r="AV142" s="8">
        <f t="shared" si="46"/>
        <v>0</v>
      </c>
      <c r="AW142" s="8">
        <f t="shared" si="47"/>
        <v>0</v>
      </c>
      <c r="AX142" s="8">
        <f t="shared" si="48"/>
        <v>0</v>
      </c>
      <c r="AY142" s="8">
        <f t="shared" si="49"/>
        <v>0</v>
      </c>
      <c r="AZ142" s="8">
        <f t="shared" si="50"/>
        <v>0</v>
      </c>
      <c r="BB142" s="2">
        <v>50</v>
      </c>
      <c r="BC142" s="8">
        <f t="shared" si="51"/>
        <v>0</v>
      </c>
      <c r="BD142" s="8">
        <f t="shared" si="52"/>
        <v>0</v>
      </c>
      <c r="BE142" s="8">
        <f t="shared" si="53"/>
        <v>0</v>
      </c>
      <c r="BF142" s="8">
        <f t="shared" si="54"/>
        <v>0</v>
      </c>
    </row>
    <row r="143" spans="47:58" x14ac:dyDescent="0.45">
      <c r="AU143" s="1">
        <v>141</v>
      </c>
      <c r="AV143" s="8">
        <f t="shared" si="46"/>
        <v>0</v>
      </c>
      <c r="AW143" s="8">
        <f t="shared" si="47"/>
        <v>0</v>
      </c>
      <c r="AX143" s="8">
        <f t="shared" si="48"/>
        <v>0</v>
      </c>
      <c r="AY143" s="8">
        <f t="shared" si="49"/>
        <v>0</v>
      </c>
      <c r="AZ143" s="8">
        <f t="shared" si="50"/>
        <v>0</v>
      </c>
      <c r="BB143" s="2">
        <v>51</v>
      </c>
      <c r="BC143" s="8">
        <f t="shared" si="51"/>
        <v>0</v>
      </c>
      <c r="BD143" s="8">
        <f t="shared" si="52"/>
        <v>0</v>
      </c>
      <c r="BE143" s="8">
        <f t="shared" si="53"/>
        <v>0</v>
      </c>
      <c r="BF143" s="8">
        <f t="shared" si="54"/>
        <v>0</v>
      </c>
    </row>
    <row r="144" spans="47:58" x14ac:dyDescent="0.45">
      <c r="AU144" s="1">
        <v>142</v>
      </c>
      <c r="AV144" s="8">
        <f t="shared" si="46"/>
        <v>0</v>
      </c>
      <c r="AW144" s="8">
        <f t="shared" si="47"/>
        <v>0</v>
      </c>
      <c r="AX144" s="8">
        <f t="shared" si="48"/>
        <v>0</v>
      </c>
      <c r="AY144" s="8">
        <f t="shared" si="49"/>
        <v>0</v>
      </c>
      <c r="AZ144" s="8">
        <f t="shared" si="50"/>
        <v>0</v>
      </c>
      <c r="BB144" s="2">
        <v>52</v>
      </c>
      <c r="BC144" s="8">
        <f t="shared" si="51"/>
        <v>0</v>
      </c>
      <c r="BD144" s="8">
        <f t="shared" si="52"/>
        <v>0</v>
      </c>
      <c r="BE144" s="8">
        <f t="shared" si="53"/>
        <v>0</v>
      </c>
      <c r="BF144" s="8">
        <f t="shared" si="54"/>
        <v>0</v>
      </c>
    </row>
    <row r="145" spans="47:58" x14ac:dyDescent="0.45">
      <c r="AU145" s="1">
        <v>143</v>
      </c>
      <c r="AV145" s="8">
        <f t="shared" si="46"/>
        <v>0</v>
      </c>
      <c r="AW145" s="8">
        <f t="shared" si="47"/>
        <v>0</v>
      </c>
      <c r="AX145" s="8">
        <f t="shared" si="48"/>
        <v>0</v>
      </c>
      <c r="AY145" s="8">
        <f t="shared" si="49"/>
        <v>0</v>
      </c>
      <c r="AZ145" s="8">
        <f t="shared" si="50"/>
        <v>0</v>
      </c>
      <c r="BB145" s="2">
        <v>53</v>
      </c>
      <c r="BC145" s="8">
        <f t="shared" si="51"/>
        <v>0</v>
      </c>
      <c r="BD145" s="8">
        <f t="shared" si="52"/>
        <v>0</v>
      </c>
      <c r="BE145" s="8">
        <f t="shared" si="53"/>
        <v>0</v>
      </c>
      <c r="BF145" s="8">
        <f t="shared" si="54"/>
        <v>0</v>
      </c>
    </row>
    <row r="146" spans="47:58" x14ac:dyDescent="0.45">
      <c r="AU146" s="1">
        <v>144</v>
      </c>
      <c r="AV146" s="8">
        <f t="shared" si="46"/>
        <v>0</v>
      </c>
      <c r="AW146" s="8">
        <f t="shared" si="47"/>
        <v>0</v>
      </c>
      <c r="AX146" s="8">
        <f t="shared" si="48"/>
        <v>0</v>
      </c>
      <c r="AY146" s="8">
        <f t="shared" si="49"/>
        <v>0</v>
      </c>
      <c r="AZ146" s="8">
        <f t="shared" si="50"/>
        <v>0</v>
      </c>
      <c r="BB146" s="2">
        <v>54</v>
      </c>
      <c r="BC146" s="8">
        <f t="shared" si="51"/>
        <v>0</v>
      </c>
      <c r="BD146" s="8">
        <f t="shared" si="52"/>
        <v>0</v>
      </c>
      <c r="BE146" s="8">
        <f t="shared" si="53"/>
        <v>0</v>
      </c>
      <c r="BF146" s="8">
        <f t="shared" si="54"/>
        <v>0</v>
      </c>
    </row>
    <row r="147" spans="47:58" x14ac:dyDescent="0.45">
      <c r="AU147" s="1">
        <v>145</v>
      </c>
      <c r="AV147" s="8">
        <f t="shared" si="46"/>
        <v>0</v>
      </c>
      <c r="AW147" s="8">
        <f t="shared" si="47"/>
        <v>0</v>
      </c>
      <c r="AX147" s="8">
        <f t="shared" si="48"/>
        <v>0</v>
      </c>
      <c r="AY147" s="8">
        <f t="shared" si="49"/>
        <v>0</v>
      </c>
      <c r="AZ147" s="8">
        <f t="shared" si="50"/>
        <v>0</v>
      </c>
      <c r="BB147" s="2">
        <v>55</v>
      </c>
      <c r="BC147" s="8">
        <f t="shared" si="51"/>
        <v>0</v>
      </c>
      <c r="BD147" s="8">
        <f t="shared" si="52"/>
        <v>0</v>
      </c>
      <c r="BE147" s="8">
        <f t="shared" si="53"/>
        <v>0</v>
      </c>
      <c r="BF147" s="8">
        <f t="shared" si="54"/>
        <v>0</v>
      </c>
    </row>
    <row r="148" spans="47:58" x14ac:dyDescent="0.45">
      <c r="AU148" s="1">
        <v>146</v>
      </c>
      <c r="AV148" s="8">
        <f t="shared" si="46"/>
        <v>0</v>
      </c>
      <c r="AW148" s="8">
        <f t="shared" si="47"/>
        <v>0</v>
      </c>
      <c r="AX148" s="8">
        <f t="shared" si="48"/>
        <v>0</v>
      </c>
      <c r="AY148" s="8">
        <f t="shared" si="49"/>
        <v>0</v>
      </c>
      <c r="AZ148" s="8">
        <f t="shared" si="50"/>
        <v>0</v>
      </c>
      <c r="BB148" s="2">
        <v>56</v>
      </c>
      <c r="BC148" s="8">
        <f t="shared" si="51"/>
        <v>0</v>
      </c>
      <c r="BD148" s="8">
        <f t="shared" si="52"/>
        <v>0</v>
      </c>
      <c r="BE148" s="8">
        <f t="shared" si="53"/>
        <v>0</v>
      </c>
      <c r="BF148" s="8">
        <f t="shared" si="54"/>
        <v>0</v>
      </c>
    </row>
    <row r="149" spans="47:58" x14ac:dyDescent="0.45">
      <c r="AU149" s="1">
        <v>147</v>
      </c>
      <c r="AV149" s="8">
        <f t="shared" si="46"/>
        <v>0</v>
      </c>
      <c r="AW149" s="8">
        <f t="shared" si="47"/>
        <v>0</v>
      </c>
      <c r="AX149" s="8">
        <f t="shared" si="48"/>
        <v>0</v>
      </c>
      <c r="AY149" s="8">
        <f t="shared" si="49"/>
        <v>0</v>
      </c>
      <c r="AZ149" s="8">
        <f t="shared" si="50"/>
        <v>0</v>
      </c>
      <c r="BB149" s="2">
        <v>57</v>
      </c>
      <c r="BC149" s="8">
        <f t="shared" si="51"/>
        <v>0</v>
      </c>
      <c r="BD149" s="8">
        <f t="shared" si="52"/>
        <v>0</v>
      </c>
      <c r="BE149" s="8">
        <f t="shared" si="53"/>
        <v>0</v>
      </c>
      <c r="BF149" s="8">
        <f t="shared" si="54"/>
        <v>0</v>
      </c>
    </row>
    <row r="150" spans="47:58" x14ac:dyDescent="0.45">
      <c r="AU150" s="1">
        <v>148</v>
      </c>
      <c r="AV150" s="8">
        <f t="shared" si="46"/>
        <v>0</v>
      </c>
      <c r="AW150" s="8">
        <f t="shared" si="47"/>
        <v>0</v>
      </c>
      <c r="AX150" s="8">
        <f t="shared" si="48"/>
        <v>0</v>
      </c>
      <c r="AY150" s="8">
        <f t="shared" si="49"/>
        <v>0</v>
      </c>
      <c r="AZ150" s="8">
        <f t="shared" si="50"/>
        <v>0</v>
      </c>
      <c r="BB150" s="2">
        <v>58</v>
      </c>
      <c r="BC150" s="8">
        <f t="shared" si="51"/>
        <v>0</v>
      </c>
      <c r="BD150" s="8">
        <f t="shared" si="52"/>
        <v>0</v>
      </c>
      <c r="BE150" s="8">
        <f t="shared" si="53"/>
        <v>0</v>
      </c>
      <c r="BF150" s="8">
        <f t="shared" si="54"/>
        <v>0</v>
      </c>
    </row>
    <row r="151" spans="47:58" x14ac:dyDescent="0.45">
      <c r="AU151" s="1">
        <v>149</v>
      </c>
      <c r="AV151" s="8">
        <f t="shared" si="46"/>
        <v>0</v>
      </c>
      <c r="AW151" s="8">
        <f t="shared" si="47"/>
        <v>0</v>
      </c>
      <c r="AX151" s="8">
        <f t="shared" si="48"/>
        <v>0</v>
      </c>
      <c r="AY151" s="8">
        <f t="shared" si="49"/>
        <v>0</v>
      </c>
      <c r="AZ151" s="8">
        <f t="shared" si="50"/>
        <v>0</v>
      </c>
      <c r="BB151" s="2">
        <v>59</v>
      </c>
      <c r="BC151" s="8">
        <f t="shared" si="51"/>
        <v>0</v>
      </c>
      <c r="BD151" s="8">
        <f t="shared" si="52"/>
        <v>0</v>
      </c>
      <c r="BE151" s="8">
        <f t="shared" si="53"/>
        <v>0</v>
      </c>
      <c r="BF151" s="8">
        <f t="shared" si="54"/>
        <v>0</v>
      </c>
    </row>
    <row r="152" spans="47:58" x14ac:dyDescent="0.45">
      <c r="AU152" s="1">
        <v>150</v>
      </c>
      <c r="AV152" s="8">
        <f t="shared" si="46"/>
        <v>0</v>
      </c>
      <c r="AW152" s="8">
        <f t="shared" si="47"/>
        <v>0</v>
      </c>
      <c r="AX152" s="8">
        <f t="shared" si="48"/>
        <v>0</v>
      </c>
      <c r="AY152" s="8">
        <f t="shared" si="49"/>
        <v>0</v>
      </c>
      <c r="AZ152" s="8">
        <f t="shared" si="50"/>
        <v>0</v>
      </c>
      <c r="BB152" s="2">
        <v>60</v>
      </c>
      <c r="BC152" s="8">
        <f t="shared" si="51"/>
        <v>0</v>
      </c>
      <c r="BD152" s="8">
        <f t="shared" si="52"/>
        <v>0</v>
      </c>
      <c r="BE152" s="8">
        <f t="shared" si="53"/>
        <v>0</v>
      </c>
      <c r="BF152" s="8">
        <f t="shared" si="54"/>
        <v>0</v>
      </c>
    </row>
    <row r="153" spans="47:58" x14ac:dyDescent="0.45">
      <c r="AU153" s="1">
        <v>151</v>
      </c>
      <c r="AV153" s="8">
        <f t="shared" si="46"/>
        <v>0</v>
      </c>
      <c r="AW153" s="8">
        <f t="shared" si="47"/>
        <v>0</v>
      </c>
      <c r="AX153" s="8">
        <f t="shared" si="48"/>
        <v>0</v>
      </c>
      <c r="AY153" s="8">
        <f t="shared" si="49"/>
        <v>0</v>
      </c>
      <c r="AZ153" s="8">
        <f t="shared" si="50"/>
        <v>0</v>
      </c>
      <c r="BB153" s="2">
        <v>61</v>
      </c>
      <c r="BC153" s="8">
        <f t="shared" si="51"/>
        <v>0</v>
      </c>
      <c r="BD153" s="8">
        <f t="shared" si="52"/>
        <v>0</v>
      </c>
      <c r="BE153" s="8">
        <f t="shared" si="53"/>
        <v>0</v>
      </c>
      <c r="BF153" s="8">
        <f t="shared" si="54"/>
        <v>0</v>
      </c>
    </row>
    <row r="154" spans="47:58" x14ac:dyDescent="0.45">
      <c r="AU154" s="1">
        <v>152</v>
      </c>
      <c r="AV154" s="8">
        <f t="shared" si="46"/>
        <v>0</v>
      </c>
      <c r="AW154" s="8">
        <f t="shared" si="47"/>
        <v>0</v>
      </c>
      <c r="AX154" s="8">
        <f t="shared" si="48"/>
        <v>0</v>
      </c>
      <c r="AY154" s="8">
        <f t="shared" si="49"/>
        <v>0</v>
      </c>
      <c r="AZ154" s="8">
        <f t="shared" si="50"/>
        <v>0</v>
      </c>
      <c r="BB154" s="2">
        <v>62</v>
      </c>
      <c r="BC154" s="8">
        <f t="shared" si="51"/>
        <v>0</v>
      </c>
      <c r="BD154" s="8">
        <f t="shared" si="52"/>
        <v>0</v>
      </c>
      <c r="BE154" s="8">
        <f t="shared" si="53"/>
        <v>0</v>
      </c>
      <c r="BF154" s="8">
        <f t="shared" si="54"/>
        <v>0</v>
      </c>
    </row>
    <row r="155" spans="47:58" x14ac:dyDescent="0.45">
      <c r="AU155" s="1">
        <v>153</v>
      </c>
      <c r="AV155" s="8">
        <f t="shared" si="46"/>
        <v>0</v>
      </c>
      <c r="AW155" s="8">
        <f t="shared" si="47"/>
        <v>0</v>
      </c>
      <c r="AX155" s="8">
        <f t="shared" si="48"/>
        <v>0</v>
      </c>
      <c r="AY155" s="8">
        <f t="shared" si="49"/>
        <v>0</v>
      </c>
      <c r="AZ155" s="8">
        <f t="shared" si="50"/>
        <v>0</v>
      </c>
      <c r="BB155" s="2">
        <v>63</v>
      </c>
      <c r="BC155" s="8">
        <f t="shared" si="51"/>
        <v>0</v>
      </c>
      <c r="BD155" s="8">
        <f t="shared" si="52"/>
        <v>0</v>
      </c>
      <c r="BE155" s="8">
        <f t="shared" si="53"/>
        <v>0</v>
      </c>
      <c r="BF155" s="8">
        <f t="shared" si="54"/>
        <v>0</v>
      </c>
    </row>
    <row r="156" spans="47:58" x14ac:dyDescent="0.45">
      <c r="AU156" s="1">
        <v>154</v>
      </c>
      <c r="AV156" s="8">
        <f t="shared" si="46"/>
        <v>0</v>
      </c>
      <c r="AW156" s="8">
        <f t="shared" si="47"/>
        <v>0</v>
      </c>
      <c r="AX156" s="8">
        <f t="shared" si="48"/>
        <v>0</v>
      </c>
      <c r="AY156" s="8">
        <f t="shared" si="49"/>
        <v>0</v>
      </c>
      <c r="AZ156" s="8">
        <f t="shared" si="50"/>
        <v>0</v>
      </c>
      <c r="BB156" s="2">
        <v>64</v>
      </c>
      <c r="BC156" s="8">
        <f t="shared" si="51"/>
        <v>0</v>
      </c>
      <c r="BD156" s="8">
        <f t="shared" si="52"/>
        <v>0</v>
      </c>
      <c r="BE156" s="8">
        <f t="shared" si="53"/>
        <v>0</v>
      </c>
      <c r="BF156" s="8">
        <f t="shared" si="54"/>
        <v>0</v>
      </c>
    </row>
    <row r="157" spans="47:58" x14ac:dyDescent="0.45">
      <c r="AU157" s="1">
        <v>155</v>
      </c>
      <c r="AV157" s="8">
        <f t="shared" si="46"/>
        <v>0</v>
      </c>
      <c r="AW157" s="8">
        <f t="shared" si="47"/>
        <v>0</v>
      </c>
      <c r="AX157" s="8">
        <f t="shared" si="48"/>
        <v>0</v>
      </c>
      <c r="AY157" s="8">
        <f t="shared" si="49"/>
        <v>0</v>
      </c>
      <c r="AZ157" s="8">
        <f t="shared" si="50"/>
        <v>0</v>
      </c>
      <c r="BB157" s="2">
        <v>65</v>
      </c>
      <c r="BC157" s="8">
        <f t="shared" si="51"/>
        <v>0</v>
      </c>
      <c r="BD157" s="8">
        <f t="shared" si="52"/>
        <v>0</v>
      </c>
      <c r="BE157" s="8">
        <f t="shared" si="53"/>
        <v>0</v>
      </c>
      <c r="BF157" s="8">
        <f t="shared" si="54"/>
        <v>0</v>
      </c>
    </row>
    <row r="158" spans="47:58" x14ac:dyDescent="0.45">
      <c r="AU158" s="1">
        <v>156</v>
      </c>
      <c r="AV158" s="8">
        <f t="shared" si="46"/>
        <v>0</v>
      </c>
      <c r="AW158" s="8">
        <f t="shared" si="47"/>
        <v>0</v>
      </c>
      <c r="AX158" s="8">
        <f t="shared" si="48"/>
        <v>0</v>
      </c>
      <c r="AY158" s="8">
        <f t="shared" si="49"/>
        <v>0</v>
      </c>
      <c r="AZ158" s="8">
        <f t="shared" si="50"/>
        <v>0</v>
      </c>
      <c r="BB158" s="2">
        <v>66</v>
      </c>
      <c r="BC158" s="8">
        <f t="shared" si="51"/>
        <v>0</v>
      </c>
      <c r="BD158" s="8">
        <f t="shared" si="52"/>
        <v>0</v>
      </c>
      <c r="BE158" s="8">
        <f t="shared" si="53"/>
        <v>0</v>
      </c>
      <c r="BF158" s="8">
        <f t="shared" si="54"/>
        <v>0</v>
      </c>
    </row>
    <row r="159" spans="47:58" x14ac:dyDescent="0.45">
      <c r="AU159" s="1">
        <v>157</v>
      </c>
      <c r="AV159" s="8">
        <f t="shared" si="46"/>
        <v>0</v>
      </c>
      <c r="AW159" s="8">
        <f t="shared" si="47"/>
        <v>0</v>
      </c>
      <c r="AX159" s="8">
        <f t="shared" si="48"/>
        <v>0</v>
      </c>
      <c r="AY159" s="8">
        <f t="shared" si="49"/>
        <v>0</v>
      </c>
      <c r="AZ159" s="8">
        <f t="shared" si="50"/>
        <v>0</v>
      </c>
      <c r="BB159" s="2">
        <v>67</v>
      </c>
      <c r="BC159" s="8">
        <f t="shared" si="51"/>
        <v>0</v>
      </c>
      <c r="BD159" s="8">
        <f t="shared" si="52"/>
        <v>0</v>
      </c>
      <c r="BE159" s="8">
        <f t="shared" si="53"/>
        <v>0</v>
      </c>
      <c r="BF159" s="8">
        <f t="shared" si="54"/>
        <v>0</v>
      </c>
    </row>
    <row r="160" spans="47:58" x14ac:dyDescent="0.45">
      <c r="AU160" s="1">
        <v>158</v>
      </c>
      <c r="AV160" s="8">
        <f t="shared" si="46"/>
        <v>0</v>
      </c>
      <c r="AW160" s="8">
        <f t="shared" si="47"/>
        <v>0</v>
      </c>
      <c r="AX160" s="8">
        <f t="shared" si="48"/>
        <v>0</v>
      </c>
      <c r="AY160" s="8">
        <f t="shared" si="49"/>
        <v>0</v>
      </c>
      <c r="AZ160" s="8">
        <f t="shared" si="50"/>
        <v>0</v>
      </c>
      <c r="BB160" s="2">
        <v>68</v>
      </c>
      <c r="BC160" s="8">
        <f t="shared" si="51"/>
        <v>0</v>
      </c>
      <c r="BD160" s="8">
        <f t="shared" si="52"/>
        <v>0</v>
      </c>
      <c r="BE160" s="8">
        <f t="shared" si="53"/>
        <v>0</v>
      </c>
      <c r="BF160" s="8">
        <f t="shared" si="54"/>
        <v>0</v>
      </c>
    </row>
    <row r="161" spans="47:58" x14ac:dyDescent="0.45">
      <c r="AU161" s="1">
        <v>159</v>
      </c>
      <c r="AV161" s="8">
        <f t="shared" si="46"/>
        <v>0</v>
      </c>
      <c r="AW161" s="8">
        <f t="shared" si="47"/>
        <v>0</v>
      </c>
      <c r="AX161" s="8">
        <f t="shared" si="48"/>
        <v>0</v>
      </c>
      <c r="AY161" s="8">
        <f t="shared" si="49"/>
        <v>0</v>
      </c>
      <c r="AZ161" s="8">
        <f t="shared" si="50"/>
        <v>0</v>
      </c>
      <c r="BB161" s="2">
        <v>69</v>
      </c>
      <c r="BC161" s="8">
        <f t="shared" si="51"/>
        <v>0</v>
      </c>
      <c r="BD161" s="8">
        <f t="shared" si="52"/>
        <v>0</v>
      </c>
      <c r="BE161" s="8">
        <f t="shared" si="53"/>
        <v>0</v>
      </c>
      <c r="BF161" s="8">
        <f t="shared" si="54"/>
        <v>0</v>
      </c>
    </row>
    <row r="162" spans="47:58" x14ac:dyDescent="0.45">
      <c r="AU162" s="1">
        <v>160</v>
      </c>
      <c r="AV162" s="8">
        <f t="shared" si="46"/>
        <v>0</v>
      </c>
      <c r="AW162" s="8">
        <f t="shared" si="47"/>
        <v>0</v>
      </c>
      <c r="AX162" s="8">
        <f t="shared" si="48"/>
        <v>0</v>
      </c>
      <c r="AY162" s="8">
        <f t="shared" si="49"/>
        <v>0</v>
      </c>
      <c r="AZ162" s="8">
        <f t="shared" si="50"/>
        <v>0</v>
      </c>
      <c r="BB162" s="2">
        <v>70</v>
      </c>
      <c r="BC162" s="8">
        <f t="shared" ref="BC162:BC182" si="55">COUNTIFS($T$71:$X$75,  "&gt;="&amp;$BB162, $T$71:$X$75,  "&lt;"&amp;($BB162+1)) / COUNT($T$71:$X$75)</f>
        <v>0</v>
      </c>
      <c r="BD162" s="8">
        <f t="shared" ref="BD162:BD182" si="56">COUNTIFS($Y$71:$AC$75,  "&gt;="&amp;$BB162, $Y$71:$AC$75,  "&lt;"&amp;($BB162+1)) / COUNT($Y$71:$AC$75)</f>
        <v>0</v>
      </c>
      <c r="BE162" s="8">
        <f t="shared" ref="BE162:BE182" si="57">COUNTIFS($T$76:$X$80,  "&gt;="&amp;$BB162, $T$76:$X$80,  "&lt;"&amp;($BB162+1)) / COUNT($T$76:$X$80)</f>
        <v>0</v>
      </c>
      <c r="BF162" s="8">
        <f t="shared" ref="BF162:BF182" si="58">COUNTIFS($Y$76:$AC$80,  "&gt;="&amp;$BB162, $Y$76:$AC$80,  "&lt;"&amp;($BB162+1)) / COUNT($Y$76:$AC$80)</f>
        <v>0</v>
      </c>
    </row>
    <row r="163" spans="47:58" x14ac:dyDescent="0.45">
      <c r="AU163" s="1">
        <v>161</v>
      </c>
      <c r="AV163" s="8">
        <f t="shared" si="46"/>
        <v>0</v>
      </c>
      <c r="AW163" s="8">
        <f t="shared" si="47"/>
        <v>0</v>
      </c>
      <c r="AX163" s="8">
        <f t="shared" si="48"/>
        <v>0</v>
      </c>
      <c r="AY163" s="8">
        <f t="shared" si="49"/>
        <v>0</v>
      </c>
      <c r="AZ163" s="8">
        <f t="shared" si="50"/>
        <v>0</v>
      </c>
      <c r="BB163" s="2">
        <v>71</v>
      </c>
      <c r="BC163" s="8">
        <f t="shared" si="55"/>
        <v>0</v>
      </c>
      <c r="BD163" s="8">
        <f t="shared" si="56"/>
        <v>0</v>
      </c>
      <c r="BE163" s="8">
        <f t="shared" si="57"/>
        <v>0</v>
      </c>
      <c r="BF163" s="8">
        <f t="shared" si="58"/>
        <v>0</v>
      </c>
    </row>
    <row r="164" spans="47:58" x14ac:dyDescent="0.45">
      <c r="AU164" s="1">
        <v>162</v>
      </c>
      <c r="AV164" s="8">
        <f t="shared" si="46"/>
        <v>0</v>
      </c>
      <c r="AW164" s="8">
        <f t="shared" si="47"/>
        <v>0</v>
      </c>
      <c r="AX164" s="8">
        <f t="shared" si="48"/>
        <v>0</v>
      </c>
      <c r="AY164" s="8">
        <f t="shared" si="49"/>
        <v>0</v>
      </c>
      <c r="AZ164" s="8">
        <f t="shared" si="50"/>
        <v>0</v>
      </c>
      <c r="BB164" s="2">
        <v>72</v>
      </c>
      <c r="BC164" s="8">
        <f t="shared" si="55"/>
        <v>0</v>
      </c>
      <c r="BD164" s="8">
        <f t="shared" si="56"/>
        <v>0</v>
      </c>
      <c r="BE164" s="8">
        <f t="shared" si="57"/>
        <v>0</v>
      </c>
      <c r="BF164" s="8">
        <f t="shared" si="58"/>
        <v>0</v>
      </c>
    </row>
    <row r="165" spans="47:58" x14ac:dyDescent="0.45">
      <c r="AU165" s="1">
        <v>163</v>
      </c>
      <c r="AV165" s="8">
        <f t="shared" si="46"/>
        <v>0</v>
      </c>
      <c r="AW165" s="8">
        <f t="shared" si="47"/>
        <v>0</v>
      </c>
      <c r="AX165" s="8">
        <f t="shared" si="48"/>
        <v>0</v>
      </c>
      <c r="AY165" s="8">
        <f t="shared" si="49"/>
        <v>0</v>
      </c>
      <c r="AZ165" s="8">
        <f t="shared" si="50"/>
        <v>0</v>
      </c>
      <c r="BB165" s="2">
        <v>73</v>
      </c>
      <c r="BC165" s="8">
        <f t="shared" si="55"/>
        <v>0</v>
      </c>
      <c r="BD165" s="8">
        <f t="shared" si="56"/>
        <v>0</v>
      </c>
      <c r="BE165" s="8">
        <f t="shared" si="57"/>
        <v>0</v>
      </c>
      <c r="BF165" s="8">
        <f t="shared" si="58"/>
        <v>0</v>
      </c>
    </row>
    <row r="166" spans="47:58" x14ac:dyDescent="0.45">
      <c r="AU166" s="1">
        <v>164</v>
      </c>
      <c r="AV166" s="8">
        <f t="shared" si="46"/>
        <v>0</v>
      </c>
      <c r="AW166" s="8">
        <f t="shared" si="47"/>
        <v>0</v>
      </c>
      <c r="AX166" s="8">
        <f t="shared" si="48"/>
        <v>0</v>
      </c>
      <c r="AY166" s="8">
        <f t="shared" si="49"/>
        <v>0</v>
      </c>
      <c r="AZ166" s="8">
        <f t="shared" si="50"/>
        <v>0</v>
      </c>
      <c r="BB166" s="2">
        <v>74</v>
      </c>
      <c r="BC166" s="8">
        <f t="shared" si="55"/>
        <v>0</v>
      </c>
      <c r="BD166" s="8">
        <f t="shared" si="56"/>
        <v>0</v>
      </c>
      <c r="BE166" s="8">
        <f t="shared" si="57"/>
        <v>0</v>
      </c>
      <c r="BF166" s="8">
        <f t="shared" si="58"/>
        <v>0</v>
      </c>
    </row>
    <row r="167" spans="47:58" x14ac:dyDescent="0.45">
      <c r="AU167" s="1">
        <v>165</v>
      </c>
      <c r="AV167" s="8">
        <f t="shared" si="46"/>
        <v>0</v>
      </c>
      <c r="AW167" s="8">
        <f t="shared" si="47"/>
        <v>0</v>
      </c>
      <c r="AX167" s="8">
        <f t="shared" si="48"/>
        <v>0</v>
      </c>
      <c r="AY167" s="8">
        <f t="shared" si="49"/>
        <v>0</v>
      </c>
      <c r="AZ167" s="8">
        <f t="shared" si="50"/>
        <v>0</v>
      </c>
      <c r="BB167" s="2">
        <v>75</v>
      </c>
      <c r="BC167" s="8">
        <f t="shared" si="55"/>
        <v>0</v>
      </c>
      <c r="BD167" s="8">
        <f t="shared" si="56"/>
        <v>0</v>
      </c>
      <c r="BE167" s="8">
        <f t="shared" si="57"/>
        <v>0</v>
      </c>
      <c r="BF167" s="8">
        <f t="shared" si="58"/>
        <v>0</v>
      </c>
    </row>
    <row r="168" spans="47:58" x14ac:dyDescent="0.45">
      <c r="AU168" s="1">
        <v>166</v>
      </c>
      <c r="AV168" s="8">
        <f t="shared" si="46"/>
        <v>0</v>
      </c>
      <c r="AW168" s="8">
        <f t="shared" si="47"/>
        <v>0</v>
      </c>
      <c r="AX168" s="8">
        <f t="shared" si="48"/>
        <v>0</v>
      </c>
      <c r="AY168" s="8">
        <f t="shared" si="49"/>
        <v>0</v>
      </c>
      <c r="AZ168" s="8">
        <f t="shared" si="50"/>
        <v>0</v>
      </c>
      <c r="BB168" s="2">
        <v>76</v>
      </c>
      <c r="BC168" s="8">
        <f t="shared" si="55"/>
        <v>0</v>
      </c>
      <c r="BD168" s="8">
        <f t="shared" si="56"/>
        <v>4.7619047619047616E-2</v>
      </c>
      <c r="BE168" s="8">
        <f t="shared" si="57"/>
        <v>0</v>
      </c>
      <c r="BF168" s="8">
        <f t="shared" si="58"/>
        <v>0</v>
      </c>
    </row>
    <row r="169" spans="47:58" x14ac:dyDescent="0.45">
      <c r="AU169" s="1">
        <v>167</v>
      </c>
      <c r="AV169" s="8">
        <f t="shared" si="46"/>
        <v>0</v>
      </c>
      <c r="AW169" s="8">
        <f t="shared" si="47"/>
        <v>0</v>
      </c>
      <c r="AX169" s="8">
        <f t="shared" si="48"/>
        <v>0</v>
      </c>
      <c r="AY169" s="8">
        <f t="shared" si="49"/>
        <v>0</v>
      </c>
      <c r="AZ169" s="8">
        <f t="shared" si="50"/>
        <v>0</v>
      </c>
      <c r="BB169" s="2">
        <v>77</v>
      </c>
      <c r="BC169" s="8">
        <f t="shared" si="55"/>
        <v>0</v>
      </c>
      <c r="BD169" s="8">
        <f t="shared" si="56"/>
        <v>0</v>
      </c>
      <c r="BE169" s="8">
        <f t="shared" si="57"/>
        <v>0</v>
      </c>
      <c r="BF169" s="8">
        <f t="shared" si="58"/>
        <v>0</v>
      </c>
    </row>
    <row r="170" spans="47:58" x14ac:dyDescent="0.45">
      <c r="AU170" s="1">
        <v>168</v>
      </c>
      <c r="AV170" s="8">
        <f t="shared" si="46"/>
        <v>0</v>
      </c>
      <c r="AW170" s="8">
        <f t="shared" si="47"/>
        <v>0</v>
      </c>
      <c r="AX170" s="8">
        <f t="shared" si="48"/>
        <v>0</v>
      </c>
      <c r="AY170" s="8">
        <f t="shared" si="49"/>
        <v>0</v>
      </c>
      <c r="AZ170" s="8">
        <f t="shared" si="50"/>
        <v>0</v>
      </c>
      <c r="BB170" s="2">
        <v>78</v>
      </c>
      <c r="BC170" s="8">
        <f t="shared" si="55"/>
        <v>0</v>
      </c>
      <c r="BD170" s="8">
        <f t="shared" si="56"/>
        <v>0</v>
      </c>
      <c r="BE170" s="8">
        <f t="shared" si="57"/>
        <v>0</v>
      </c>
      <c r="BF170" s="8">
        <f t="shared" si="58"/>
        <v>0</v>
      </c>
    </row>
    <row r="171" spans="47:58" x14ac:dyDescent="0.45">
      <c r="AU171" s="1">
        <v>169</v>
      </c>
      <c r="AV171" s="8">
        <f t="shared" si="46"/>
        <v>0</v>
      </c>
      <c r="AW171" s="8">
        <f t="shared" si="47"/>
        <v>0</v>
      </c>
      <c r="AX171" s="8">
        <f t="shared" si="48"/>
        <v>0</v>
      </c>
      <c r="AY171" s="8">
        <f t="shared" si="49"/>
        <v>0</v>
      </c>
      <c r="AZ171" s="8">
        <f t="shared" si="50"/>
        <v>0</v>
      </c>
      <c r="BB171" s="2">
        <v>79</v>
      </c>
      <c r="BC171" s="8">
        <f t="shared" si="55"/>
        <v>0</v>
      </c>
      <c r="BD171" s="8">
        <f t="shared" si="56"/>
        <v>0</v>
      </c>
      <c r="BE171" s="8">
        <f t="shared" si="57"/>
        <v>0</v>
      </c>
      <c r="BF171" s="8">
        <f t="shared" si="58"/>
        <v>0</v>
      </c>
    </row>
    <row r="172" spans="47:58" x14ac:dyDescent="0.45">
      <c r="AU172" s="1">
        <v>170</v>
      </c>
      <c r="AV172" s="8">
        <f t="shared" si="46"/>
        <v>0</v>
      </c>
      <c r="AW172" s="8">
        <f t="shared" si="47"/>
        <v>0</v>
      </c>
      <c r="AX172" s="8">
        <f t="shared" si="48"/>
        <v>0</v>
      </c>
      <c r="AY172" s="8">
        <f t="shared" si="49"/>
        <v>0</v>
      </c>
      <c r="AZ172" s="8">
        <f t="shared" si="50"/>
        <v>0</v>
      </c>
      <c r="BB172" s="2">
        <v>80</v>
      </c>
      <c r="BC172" s="8">
        <f t="shared" si="55"/>
        <v>0</v>
      </c>
      <c r="BD172" s="8">
        <f t="shared" si="56"/>
        <v>0</v>
      </c>
      <c r="BE172" s="8">
        <f t="shared" si="57"/>
        <v>0</v>
      </c>
      <c r="BF172" s="8">
        <f t="shared" si="58"/>
        <v>0</v>
      </c>
    </row>
    <row r="173" spans="47:58" x14ac:dyDescent="0.45">
      <c r="AU173" s="1">
        <v>171</v>
      </c>
      <c r="AV173" s="8">
        <f t="shared" si="46"/>
        <v>0</v>
      </c>
      <c r="AW173" s="8">
        <f t="shared" si="47"/>
        <v>0</v>
      </c>
      <c r="AX173" s="8">
        <f t="shared" si="48"/>
        <v>0</v>
      </c>
      <c r="AY173" s="8">
        <f t="shared" si="49"/>
        <v>0</v>
      </c>
      <c r="AZ173" s="8">
        <f t="shared" si="50"/>
        <v>0</v>
      </c>
      <c r="BB173" s="2">
        <v>81</v>
      </c>
      <c r="BC173" s="8">
        <f t="shared" si="55"/>
        <v>0</v>
      </c>
      <c r="BD173" s="8">
        <f t="shared" si="56"/>
        <v>0</v>
      </c>
      <c r="BE173" s="8">
        <f t="shared" si="57"/>
        <v>0</v>
      </c>
      <c r="BF173" s="8">
        <f t="shared" si="58"/>
        <v>0</v>
      </c>
    </row>
    <row r="174" spans="47:58" x14ac:dyDescent="0.45">
      <c r="AU174" s="1">
        <v>172</v>
      </c>
      <c r="AV174" s="8">
        <f t="shared" si="46"/>
        <v>0</v>
      </c>
      <c r="AW174" s="8">
        <f t="shared" si="47"/>
        <v>0</v>
      </c>
      <c r="AX174" s="8">
        <f t="shared" si="48"/>
        <v>0</v>
      </c>
      <c r="AY174" s="8">
        <f t="shared" si="49"/>
        <v>0</v>
      </c>
      <c r="AZ174" s="8">
        <f t="shared" si="50"/>
        <v>0</v>
      </c>
      <c r="BB174" s="2">
        <v>82</v>
      </c>
      <c r="BC174" s="8">
        <f t="shared" si="55"/>
        <v>0</v>
      </c>
      <c r="BD174" s="8">
        <f t="shared" si="56"/>
        <v>0</v>
      </c>
      <c r="BE174" s="8">
        <f t="shared" si="57"/>
        <v>0</v>
      </c>
      <c r="BF174" s="8">
        <f t="shared" si="58"/>
        <v>0</v>
      </c>
    </row>
    <row r="175" spans="47:58" x14ac:dyDescent="0.45">
      <c r="AU175" s="1">
        <v>173</v>
      </c>
      <c r="AV175" s="8">
        <f t="shared" si="46"/>
        <v>0</v>
      </c>
      <c r="AW175" s="8">
        <f t="shared" si="47"/>
        <v>0</v>
      </c>
      <c r="AX175" s="8">
        <f t="shared" si="48"/>
        <v>0</v>
      </c>
      <c r="AY175" s="8">
        <f t="shared" si="49"/>
        <v>0</v>
      </c>
      <c r="AZ175" s="8">
        <f t="shared" si="50"/>
        <v>0</v>
      </c>
      <c r="BB175" s="2">
        <v>83</v>
      </c>
      <c r="BC175" s="8">
        <f t="shared" si="55"/>
        <v>0</v>
      </c>
      <c r="BD175" s="8">
        <f t="shared" si="56"/>
        <v>0</v>
      </c>
      <c r="BE175" s="8">
        <f t="shared" si="57"/>
        <v>0</v>
      </c>
      <c r="BF175" s="8">
        <f t="shared" si="58"/>
        <v>0</v>
      </c>
    </row>
    <row r="176" spans="47:58" x14ac:dyDescent="0.45">
      <c r="AU176" s="1">
        <v>174</v>
      </c>
      <c r="AV176" s="8">
        <f t="shared" si="46"/>
        <v>0</v>
      </c>
      <c r="AW176" s="8">
        <f t="shared" si="47"/>
        <v>0</v>
      </c>
      <c r="AX176" s="8">
        <f t="shared" si="48"/>
        <v>0</v>
      </c>
      <c r="AY176" s="8">
        <f t="shared" si="49"/>
        <v>0</v>
      </c>
      <c r="AZ176" s="8">
        <f t="shared" si="50"/>
        <v>0</v>
      </c>
      <c r="BB176" s="2">
        <v>84</v>
      </c>
      <c r="BC176" s="8">
        <f t="shared" si="55"/>
        <v>0</v>
      </c>
      <c r="BD176" s="8">
        <f t="shared" si="56"/>
        <v>0</v>
      </c>
      <c r="BE176" s="8">
        <f t="shared" si="57"/>
        <v>0</v>
      </c>
      <c r="BF176" s="8">
        <f t="shared" si="58"/>
        <v>0</v>
      </c>
    </row>
    <row r="177" spans="47:58" x14ac:dyDescent="0.45">
      <c r="AU177" s="1">
        <v>175</v>
      </c>
      <c r="AV177" s="8">
        <f t="shared" si="46"/>
        <v>0</v>
      </c>
      <c r="AW177" s="8">
        <f t="shared" si="47"/>
        <v>0</v>
      </c>
      <c r="AX177" s="8">
        <f t="shared" si="48"/>
        <v>0</v>
      </c>
      <c r="AY177" s="8">
        <f t="shared" si="49"/>
        <v>0</v>
      </c>
      <c r="AZ177" s="8">
        <f t="shared" si="50"/>
        <v>0</v>
      </c>
      <c r="BB177" s="2">
        <v>85</v>
      </c>
      <c r="BC177" s="8">
        <f t="shared" si="55"/>
        <v>0</v>
      </c>
      <c r="BD177" s="8">
        <f t="shared" si="56"/>
        <v>0</v>
      </c>
      <c r="BE177" s="8">
        <f t="shared" si="57"/>
        <v>0</v>
      </c>
      <c r="BF177" s="8">
        <f t="shared" si="58"/>
        <v>0</v>
      </c>
    </row>
    <row r="178" spans="47:58" x14ac:dyDescent="0.45">
      <c r="AU178" s="1">
        <v>176</v>
      </c>
      <c r="AV178" s="8">
        <f t="shared" si="46"/>
        <v>0</v>
      </c>
      <c r="AW178" s="8">
        <f t="shared" si="47"/>
        <v>0</v>
      </c>
      <c r="AX178" s="8">
        <f t="shared" si="48"/>
        <v>0</v>
      </c>
      <c r="AY178" s="8">
        <f t="shared" si="49"/>
        <v>0</v>
      </c>
      <c r="AZ178" s="8">
        <f t="shared" si="50"/>
        <v>0</v>
      </c>
      <c r="BB178" s="2">
        <v>86</v>
      </c>
      <c r="BC178" s="8">
        <f t="shared" si="55"/>
        <v>0</v>
      </c>
      <c r="BD178" s="8">
        <f t="shared" si="56"/>
        <v>0</v>
      </c>
      <c r="BE178" s="8">
        <f t="shared" si="57"/>
        <v>0</v>
      </c>
      <c r="BF178" s="8">
        <f t="shared" si="58"/>
        <v>0</v>
      </c>
    </row>
    <row r="179" spans="47:58" x14ac:dyDescent="0.45">
      <c r="AU179" s="1">
        <v>177</v>
      </c>
      <c r="AV179" s="8">
        <f t="shared" si="46"/>
        <v>0</v>
      </c>
      <c r="AW179" s="8">
        <f t="shared" si="47"/>
        <v>0</v>
      </c>
      <c r="AX179" s="8">
        <f t="shared" si="48"/>
        <v>0</v>
      </c>
      <c r="AY179" s="8">
        <f t="shared" si="49"/>
        <v>0</v>
      </c>
      <c r="AZ179" s="8">
        <f t="shared" si="50"/>
        <v>0</v>
      </c>
      <c r="BB179" s="2">
        <v>87</v>
      </c>
      <c r="BC179" s="8">
        <f t="shared" si="55"/>
        <v>0</v>
      </c>
      <c r="BD179" s="8">
        <f t="shared" si="56"/>
        <v>0</v>
      </c>
      <c r="BE179" s="8">
        <f t="shared" si="57"/>
        <v>0</v>
      </c>
      <c r="BF179" s="8">
        <f t="shared" si="58"/>
        <v>0</v>
      </c>
    </row>
    <row r="180" spans="47:58" x14ac:dyDescent="0.45">
      <c r="AU180" s="1">
        <v>178</v>
      </c>
      <c r="AV180" s="8">
        <f t="shared" si="46"/>
        <v>0</v>
      </c>
      <c r="AW180" s="8">
        <f t="shared" si="47"/>
        <v>0</v>
      </c>
      <c r="AX180" s="8">
        <f t="shared" si="48"/>
        <v>0</v>
      </c>
      <c r="AY180" s="8">
        <f t="shared" si="49"/>
        <v>0</v>
      </c>
      <c r="AZ180" s="8">
        <f t="shared" si="50"/>
        <v>0</v>
      </c>
      <c r="BB180" s="2">
        <v>88</v>
      </c>
      <c r="BC180" s="8">
        <f t="shared" si="55"/>
        <v>0</v>
      </c>
      <c r="BD180" s="8">
        <f t="shared" si="56"/>
        <v>0</v>
      </c>
      <c r="BE180" s="8">
        <f t="shared" si="57"/>
        <v>0</v>
      </c>
      <c r="BF180" s="8">
        <f t="shared" si="58"/>
        <v>0</v>
      </c>
    </row>
    <row r="181" spans="47:58" x14ac:dyDescent="0.45">
      <c r="AU181" s="1">
        <v>179</v>
      </c>
      <c r="AV181" s="8">
        <f t="shared" si="46"/>
        <v>0</v>
      </c>
      <c r="AW181" s="8">
        <f t="shared" si="47"/>
        <v>0</v>
      </c>
      <c r="AX181" s="8">
        <f t="shared" si="48"/>
        <v>0</v>
      </c>
      <c r="AY181" s="8">
        <f t="shared" si="49"/>
        <v>0</v>
      </c>
      <c r="AZ181" s="8">
        <f t="shared" si="50"/>
        <v>0</v>
      </c>
      <c r="BB181" s="2">
        <v>89</v>
      </c>
      <c r="BC181" s="8">
        <f t="shared" si="55"/>
        <v>0</v>
      </c>
      <c r="BD181" s="8">
        <f t="shared" si="56"/>
        <v>4.7619047619047616E-2</v>
      </c>
      <c r="BE181" s="8">
        <f t="shared" si="57"/>
        <v>0</v>
      </c>
      <c r="BF181" s="8">
        <f t="shared" si="58"/>
        <v>0</v>
      </c>
    </row>
    <row r="182" spans="47:58" x14ac:dyDescent="0.45">
      <c r="AU182" s="1">
        <v>180</v>
      </c>
      <c r="AV182" s="8">
        <f t="shared" si="46"/>
        <v>0</v>
      </c>
      <c r="AW182" s="8">
        <f t="shared" si="47"/>
        <v>0</v>
      </c>
      <c r="AX182" s="8">
        <f t="shared" si="48"/>
        <v>0</v>
      </c>
      <c r="AY182" s="8">
        <f t="shared" si="49"/>
        <v>0</v>
      </c>
      <c r="AZ182" s="8">
        <f t="shared" si="50"/>
        <v>0</v>
      </c>
      <c r="BB182" s="2">
        <v>90</v>
      </c>
      <c r="BC182" s="8">
        <f t="shared" si="55"/>
        <v>0.1111111111111111</v>
      </c>
      <c r="BD182" s="8">
        <f t="shared" si="56"/>
        <v>0</v>
      </c>
      <c r="BE182" s="8">
        <f t="shared" si="57"/>
        <v>6.25E-2</v>
      </c>
      <c r="BF182" s="8">
        <f t="shared" si="58"/>
        <v>0.5</v>
      </c>
    </row>
    <row r="183" spans="47:58" x14ac:dyDescent="0.45">
      <c r="AU183" s="1">
        <v>181</v>
      </c>
      <c r="AV183" s="8">
        <f t="shared" si="46"/>
        <v>0</v>
      </c>
      <c r="AW183" s="8">
        <f t="shared" si="47"/>
        <v>0</v>
      </c>
      <c r="AX183" s="8">
        <f t="shared" si="48"/>
        <v>0</v>
      </c>
      <c r="AY183" s="8">
        <f t="shared" si="49"/>
        <v>0</v>
      </c>
      <c r="AZ183" s="8">
        <f t="shared" si="50"/>
        <v>0</v>
      </c>
    </row>
    <row r="184" spans="47:58" x14ac:dyDescent="0.45">
      <c r="AU184" s="1">
        <v>182</v>
      </c>
      <c r="AV184" s="8">
        <f t="shared" si="46"/>
        <v>0</v>
      </c>
      <c r="AW184" s="8">
        <f t="shared" si="47"/>
        <v>0</v>
      </c>
      <c r="AX184" s="8">
        <f t="shared" si="48"/>
        <v>0</v>
      </c>
      <c r="AY184" s="8">
        <f t="shared" si="49"/>
        <v>0</v>
      </c>
      <c r="AZ184" s="8">
        <f t="shared" si="50"/>
        <v>0</v>
      </c>
    </row>
    <row r="185" spans="47:58" x14ac:dyDescent="0.45">
      <c r="AU185" s="1">
        <v>183</v>
      </c>
      <c r="AV185" s="8">
        <f t="shared" si="46"/>
        <v>0</v>
      </c>
      <c r="AW185" s="8">
        <f t="shared" si="47"/>
        <v>0</v>
      </c>
      <c r="AX185" s="8">
        <f t="shared" si="48"/>
        <v>0</v>
      </c>
      <c r="AY185" s="8">
        <f t="shared" si="49"/>
        <v>0</v>
      </c>
      <c r="AZ185" s="8">
        <f t="shared" si="50"/>
        <v>0</v>
      </c>
    </row>
    <row r="186" spans="47:58" x14ac:dyDescent="0.45">
      <c r="AU186" s="1">
        <v>184</v>
      </c>
      <c r="AV186" s="8">
        <f t="shared" si="46"/>
        <v>0</v>
      </c>
      <c r="AW186" s="8">
        <f t="shared" si="47"/>
        <v>0</v>
      </c>
      <c r="AX186" s="8">
        <f t="shared" si="48"/>
        <v>0</v>
      </c>
      <c r="AY186" s="8">
        <f t="shared" si="49"/>
        <v>0</v>
      </c>
      <c r="AZ186" s="8">
        <f t="shared" si="50"/>
        <v>0</v>
      </c>
    </row>
    <row r="187" spans="47:58" x14ac:dyDescent="0.45">
      <c r="AU187" s="1">
        <v>185</v>
      </c>
      <c r="AV187" s="8">
        <f t="shared" si="46"/>
        <v>0</v>
      </c>
      <c r="AW187" s="8">
        <f t="shared" si="47"/>
        <v>0</v>
      </c>
      <c r="AX187" s="8">
        <f t="shared" si="48"/>
        <v>0</v>
      </c>
      <c r="AY187" s="8">
        <f t="shared" si="49"/>
        <v>0</v>
      </c>
      <c r="AZ187" s="8">
        <f t="shared" si="50"/>
        <v>0</v>
      </c>
    </row>
    <row r="188" spans="47:58" x14ac:dyDescent="0.45">
      <c r="AU188" s="1">
        <v>186</v>
      </c>
      <c r="AV188" s="8">
        <f t="shared" si="46"/>
        <v>0</v>
      </c>
      <c r="AW188" s="8">
        <f t="shared" si="47"/>
        <v>0</v>
      </c>
      <c r="AX188" s="8">
        <f t="shared" si="48"/>
        <v>0</v>
      </c>
      <c r="AY188" s="8">
        <f t="shared" si="49"/>
        <v>0</v>
      </c>
      <c r="AZ188" s="8">
        <f t="shared" si="50"/>
        <v>0</v>
      </c>
    </row>
    <row r="189" spans="47:58" x14ac:dyDescent="0.45">
      <c r="AU189" s="1">
        <v>187</v>
      </c>
      <c r="AV189" s="8">
        <f t="shared" si="46"/>
        <v>0</v>
      </c>
      <c r="AW189" s="8">
        <f t="shared" si="47"/>
        <v>0</v>
      </c>
      <c r="AX189" s="8">
        <f t="shared" si="48"/>
        <v>0</v>
      </c>
      <c r="AY189" s="8">
        <f t="shared" si="49"/>
        <v>0</v>
      </c>
      <c r="AZ189" s="8">
        <f t="shared" si="50"/>
        <v>0</v>
      </c>
    </row>
    <row r="190" spans="47:58" x14ac:dyDescent="0.45">
      <c r="AU190" s="1">
        <v>188</v>
      </c>
      <c r="AV190" s="8">
        <f t="shared" si="46"/>
        <v>0</v>
      </c>
      <c r="AW190" s="8">
        <f t="shared" si="47"/>
        <v>0</v>
      </c>
      <c r="AX190" s="8">
        <f t="shared" si="48"/>
        <v>0</v>
      </c>
      <c r="AY190" s="8">
        <f t="shared" si="49"/>
        <v>0</v>
      </c>
      <c r="AZ190" s="8">
        <f t="shared" si="50"/>
        <v>0</v>
      </c>
    </row>
    <row r="191" spans="47:58" x14ac:dyDescent="0.45">
      <c r="AU191" s="1">
        <v>189</v>
      </c>
      <c r="AV191" s="8">
        <f t="shared" si="46"/>
        <v>0</v>
      </c>
      <c r="AW191" s="8">
        <f t="shared" si="47"/>
        <v>0</v>
      </c>
      <c r="AX191" s="8">
        <f t="shared" si="48"/>
        <v>0</v>
      </c>
      <c r="AY191" s="8">
        <f t="shared" si="49"/>
        <v>0</v>
      </c>
      <c r="AZ191" s="8">
        <f t="shared" si="50"/>
        <v>0</v>
      </c>
    </row>
    <row r="192" spans="47:58" x14ac:dyDescent="0.45">
      <c r="AU192" s="1">
        <v>190</v>
      </c>
      <c r="AV192" s="8">
        <f t="shared" si="46"/>
        <v>0</v>
      </c>
      <c r="AW192" s="8">
        <f t="shared" si="47"/>
        <v>0</v>
      </c>
      <c r="AX192" s="8">
        <f t="shared" si="48"/>
        <v>0</v>
      </c>
      <c r="AY192" s="8">
        <f t="shared" si="49"/>
        <v>0</v>
      </c>
      <c r="AZ192" s="8">
        <f t="shared" si="50"/>
        <v>0</v>
      </c>
    </row>
    <row r="193" spans="47:52" x14ac:dyDescent="0.45">
      <c r="AU193" s="1">
        <v>191</v>
      </c>
      <c r="AV193" s="8">
        <f t="shared" si="46"/>
        <v>0</v>
      </c>
      <c r="AW193" s="8">
        <f t="shared" si="47"/>
        <v>0</v>
      </c>
      <c r="AX193" s="8">
        <f t="shared" si="48"/>
        <v>0</v>
      </c>
      <c r="AY193" s="8">
        <f t="shared" si="49"/>
        <v>0</v>
      </c>
      <c r="AZ193" s="8">
        <f t="shared" si="50"/>
        <v>0</v>
      </c>
    </row>
    <row r="194" spans="47:52" x14ac:dyDescent="0.45">
      <c r="AU194" s="1">
        <v>192</v>
      </c>
      <c r="AV194" s="8">
        <f t="shared" ref="AV194:AV257" si="59">COUNTIF($S$2:$AD$13,  $AU194)/(12*12)</f>
        <v>0</v>
      </c>
      <c r="AW194" s="8">
        <f t="shared" ref="AW194:AW257" si="60">COUNTIF($S$2:$X$7,  $AU194)/(6*6)</f>
        <v>0</v>
      </c>
      <c r="AX194" s="8">
        <f t="shared" ref="AX194:AX257" si="61">COUNTIF($Y$2:$AD$7,  $AU194)/(6*6)</f>
        <v>0</v>
      </c>
      <c r="AY194" s="8">
        <f t="shared" ref="AY194:AY257" si="62">COUNTIF($S$8:$X$13,  $AU194)/(6*6)</f>
        <v>0</v>
      </c>
      <c r="AZ194" s="8">
        <f t="shared" ref="AZ194:AZ257" si="63">COUNTIF($Y$8:$AD$13,  $AU194)/(6*6)</f>
        <v>0</v>
      </c>
    </row>
    <row r="195" spans="47:52" x14ac:dyDescent="0.45">
      <c r="AU195" s="1">
        <v>193</v>
      </c>
      <c r="AV195" s="8">
        <f t="shared" si="59"/>
        <v>0</v>
      </c>
      <c r="AW195" s="8">
        <f t="shared" si="60"/>
        <v>0</v>
      </c>
      <c r="AX195" s="8">
        <f t="shared" si="61"/>
        <v>0</v>
      </c>
      <c r="AY195" s="8">
        <f t="shared" si="62"/>
        <v>0</v>
      </c>
      <c r="AZ195" s="8">
        <f t="shared" si="63"/>
        <v>0</v>
      </c>
    </row>
    <row r="196" spans="47:52" x14ac:dyDescent="0.45">
      <c r="AU196" s="1">
        <v>194</v>
      </c>
      <c r="AV196" s="8">
        <f t="shared" si="59"/>
        <v>0</v>
      </c>
      <c r="AW196" s="8">
        <f t="shared" si="60"/>
        <v>0</v>
      </c>
      <c r="AX196" s="8">
        <f t="shared" si="61"/>
        <v>0</v>
      </c>
      <c r="AY196" s="8">
        <f t="shared" si="62"/>
        <v>0</v>
      </c>
      <c r="AZ196" s="8">
        <f t="shared" si="63"/>
        <v>0</v>
      </c>
    </row>
    <row r="197" spans="47:52" x14ac:dyDescent="0.45">
      <c r="AU197" s="1">
        <v>195</v>
      </c>
      <c r="AV197" s="8">
        <f t="shared" si="59"/>
        <v>0</v>
      </c>
      <c r="AW197" s="8">
        <f t="shared" si="60"/>
        <v>0</v>
      </c>
      <c r="AX197" s="8">
        <f t="shared" si="61"/>
        <v>0</v>
      </c>
      <c r="AY197" s="8">
        <f t="shared" si="62"/>
        <v>0</v>
      </c>
      <c r="AZ197" s="8">
        <f t="shared" si="63"/>
        <v>0</v>
      </c>
    </row>
    <row r="198" spans="47:52" x14ac:dyDescent="0.45">
      <c r="AU198" s="1">
        <v>196</v>
      </c>
      <c r="AV198" s="8">
        <f t="shared" si="59"/>
        <v>0</v>
      </c>
      <c r="AW198" s="8">
        <f t="shared" si="60"/>
        <v>0</v>
      </c>
      <c r="AX198" s="8">
        <f t="shared" si="61"/>
        <v>0</v>
      </c>
      <c r="AY198" s="8">
        <f t="shared" si="62"/>
        <v>0</v>
      </c>
      <c r="AZ198" s="8">
        <f t="shared" si="63"/>
        <v>0</v>
      </c>
    </row>
    <row r="199" spans="47:52" x14ac:dyDescent="0.45">
      <c r="AU199" s="1">
        <v>197</v>
      </c>
      <c r="AV199" s="8">
        <f t="shared" si="59"/>
        <v>0</v>
      </c>
      <c r="AW199" s="8">
        <f t="shared" si="60"/>
        <v>0</v>
      </c>
      <c r="AX199" s="8">
        <f t="shared" si="61"/>
        <v>0</v>
      </c>
      <c r="AY199" s="8">
        <f t="shared" si="62"/>
        <v>0</v>
      </c>
      <c r="AZ199" s="8">
        <f t="shared" si="63"/>
        <v>0</v>
      </c>
    </row>
    <row r="200" spans="47:52" x14ac:dyDescent="0.45">
      <c r="AU200" s="1">
        <v>198</v>
      </c>
      <c r="AV200" s="8">
        <f t="shared" si="59"/>
        <v>0</v>
      </c>
      <c r="AW200" s="8">
        <f t="shared" si="60"/>
        <v>0</v>
      </c>
      <c r="AX200" s="8">
        <f t="shared" si="61"/>
        <v>0</v>
      </c>
      <c r="AY200" s="8">
        <f t="shared" si="62"/>
        <v>0</v>
      </c>
      <c r="AZ200" s="8">
        <f t="shared" si="63"/>
        <v>0</v>
      </c>
    </row>
    <row r="201" spans="47:52" x14ac:dyDescent="0.45">
      <c r="AU201" s="1">
        <v>199</v>
      </c>
      <c r="AV201" s="8">
        <f t="shared" si="59"/>
        <v>0</v>
      </c>
      <c r="AW201" s="8">
        <f t="shared" si="60"/>
        <v>0</v>
      </c>
      <c r="AX201" s="8">
        <f t="shared" si="61"/>
        <v>0</v>
      </c>
      <c r="AY201" s="8">
        <f t="shared" si="62"/>
        <v>0</v>
      </c>
      <c r="AZ201" s="8">
        <f t="shared" si="63"/>
        <v>0</v>
      </c>
    </row>
    <row r="202" spans="47:52" x14ac:dyDescent="0.45">
      <c r="AU202" s="1">
        <v>200</v>
      </c>
      <c r="AV202" s="8">
        <f t="shared" si="59"/>
        <v>0</v>
      </c>
      <c r="AW202" s="8">
        <f t="shared" si="60"/>
        <v>0</v>
      </c>
      <c r="AX202" s="8">
        <f t="shared" si="61"/>
        <v>0</v>
      </c>
      <c r="AY202" s="8">
        <f t="shared" si="62"/>
        <v>0</v>
      </c>
      <c r="AZ202" s="8">
        <f t="shared" si="63"/>
        <v>0</v>
      </c>
    </row>
    <row r="203" spans="47:52" x14ac:dyDescent="0.45">
      <c r="AU203" s="1">
        <v>201</v>
      </c>
      <c r="AV203" s="8">
        <f t="shared" si="59"/>
        <v>0</v>
      </c>
      <c r="AW203" s="8">
        <f t="shared" si="60"/>
        <v>0</v>
      </c>
      <c r="AX203" s="8">
        <f t="shared" si="61"/>
        <v>0</v>
      </c>
      <c r="AY203" s="8">
        <f t="shared" si="62"/>
        <v>0</v>
      </c>
      <c r="AZ203" s="8">
        <f t="shared" si="63"/>
        <v>0</v>
      </c>
    </row>
    <row r="204" spans="47:52" x14ac:dyDescent="0.45">
      <c r="AU204" s="1">
        <v>202</v>
      </c>
      <c r="AV204" s="8">
        <f t="shared" si="59"/>
        <v>0</v>
      </c>
      <c r="AW204" s="8">
        <f t="shared" si="60"/>
        <v>0</v>
      </c>
      <c r="AX204" s="8">
        <f t="shared" si="61"/>
        <v>0</v>
      </c>
      <c r="AY204" s="8">
        <f t="shared" si="62"/>
        <v>0</v>
      </c>
      <c r="AZ204" s="8">
        <f t="shared" si="63"/>
        <v>0</v>
      </c>
    </row>
    <row r="205" spans="47:52" x14ac:dyDescent="0.45">
      <c r="AU205" s="1">
        <v>203</v>
      </c>
      <c r="AV205" s="8">
        <f t="shared" si="59"/>
        <v>0</v>
      </c>
      <c r="AW205" s="8">
        <f t="shared" si="60"/>
        <v>0</v>
      </c>
      <c r="AX205" s="8">
        <f t="shared" si="61"/>
        <v>0</v>
      </c>
      <c r="AY205" s="8">
        <f t="shared" si="62"/>
        <v>0</v>
      </c>
      <c r="AZ205" s="8">
        <f t="shared" si="63"/>
        <v>0</v>
      </c>
    </row>
    <row r="206" spans="47:52" x14ac:dyDescent="0.45">
      <c r="AU206" s="1">
        <v>204</v>
      </c>
      <c r="AV206" s="8">
        <f t="shared" si="59"/>
        <v>0</v>
      </c>
      <c r="AW206" s="8">
        <f t="shared" si="60"/>
        <v>0</v>
      </c>
      <c r="AX206" s="8">
        <f t="shared" si="61"/>
        <v>0</v>
      </c>
      <c r="AY206" s="8">
        <f t="shared" si="62"/>
        <v>0</v>
      </c>
      <c r="AZ206" s="8">
        <f t="shared" si="63"/>
        <v>0</v>
      </c>
    </row>
    <row r="207" spans="47:52" x14ac:dyDescent="0.45">
      <c r="AU207" s="1">
        <v>205</v>
      </c>
      <c r="AV207" s="8">
        <f t="shared" si="59"/>
        <v>0</v>
      </c>
      <c r="AW207" s="8">
        <f t="shared" si="60"/>
        <v>0</v>
      </c>
      <c r="AX207" s="8">
        <f t="shared" si="61"/>
        <v>0</v>
      </c>
      <c r="AY207" s="8">
        <f t="shared" si="62"/>
        <v>0</v>
      </c>
      <c r="AZ207" s="8">
        <f t="shared" si="63"/>
        <v>0</v>
      </c>
    </row>
    <row r="208" spans="47:52" x14ac:dyDescent="0.45">
      <c r="AU208" s="1">
        <v>206</v>
      </c>
      <c r="AV208" s="8">
        <f t="shared" si="59"/>
        <v>0</v>
      </c>
      <c r="AW208" s="8">
        <f t="shared" si="60"/>
        <v>0</v>
      </c>
      <c r="AX208" s="8">
        <f t="shared" si="61"/>
        <v>0</v>
      </c>
      <c r="AY208" s="8">
        <f t="shared" si="62"/>
        <v>0</v>
      </c>
      <c r="AZ208" s="8">
        <f t="shared" si="63"/>
        <v>0</v>
      </c>
    </row>
    <row r="209" spans="47:52" x14ac:dyDescent="0.45">
      <c r="AU209" s="1">
        <v>207</v>
      </c>
      <c r="AV209" s="8">
        <f t="shared" si="59"/>
        <v>0</v>
      </c>
      <c r="AW209" s="8">
        <f t="shared" si="60"/>
        <v>0</v>
      </c>
      <c r="AX209" s="8">
        <f t="shared" si="61"/>
        <v>0</v>
      </c>
      <c r="AY209" s="8">
        <f t="shared" si="62"/>
        <v>0</v>
      </c>
      <c r="AZ209" s="8">
        <f t="shared" si="63"/>
        <v>0</v>
      </c>
    </row>
    <row r="210" spans="47:52" x14ac:dyDescent="0.45">
      <c r="AU210" s="1">
        <v>208</v>
      </c>
      <c r="AV210" s="8">
        <f t="shared" si="59"/>
        <v>0</v>
      </c>
      <c r="AW210" s="8">
        <f t="shared" si="60"/>
        <v>0</v>
      </c>
      <c r="AX210" s="8">
        <f t="shared" si="61"/>
        <v>0</v>
      </c>
      <c r="AY210" s="8">
        <f t="shared" si="62"/>
        <v>0</v>
      </c>
      <c r="AZ210" s="8">
        <f t="shared" si="63"/>
        <v>0</v>
      </c>
    </row>
    <row r="211" spans="47:52" x14ac:dyDescent="0.45">
      <c r="AU211" s="1">
        <v>209</v>
      </c>
      <c r="AV211" s="8">
        <f t="shared" si="59"/>
        <v>0</v>
      </c>
      <c r="AW211" s="8">
        <f t="shared" si="60"/>
        <v>0</v>
      </c>
      <c r="AX211" s="8">
        <f t="shared" si="61"/>
        <v>0</v>
      </c>
      <c r="AY211" s="8">
        <f t="shared" si="62"/>
        <v>0</v>
      </c>
      <c r="AZ211" s="8">
        <f t="shared" si="63"/>
        <v>0</v>
      </c>
    </row>
    <row r="212" spans="47:52" x14ac:dyDescent="0.45">
      <c r="AU212" s="1">
        <v>210</v>
      </c>
      <c r="AV212" s="8">
        <f t="shared" si="59"/>
        <v>0</v>
      </c>
      <c r="AW212" s="8">
        <f t="shared" si="60"/>
        <v>0</v>
      </c>
      <c r="AX212" s="8">
        <f t="shared" si="61"/>
        <v>0</v>
      </c>
      <c r="AY212" s="8">
        <f t="shared" si="62"/>
        <v>0</v>
      </c>
      <c r="AZ212" s="8">
        <f t="shared" si="63"/>
        <v>0</v>
      </c>
    </row>
    <row r="213" spans="47:52" x14ac:dyDescent="0.45">
      <c r="AU213" s="1">
        <v>211</v>
      </c>
      <c r="AV213" s="8">
        <f t="shared" si="59"/>
        <v>0</v>
      </c>
      <c r="AW213" s="8">
        <f t="shared" si="60"/>
        <v>0</v>
      </c>
      <c r="AX213" s="8">
        <f t="shared" si="61"/>
        <v>0</v>
      </c>
      <c r="AY213" s="8">
        <f t="shared" si="62"/>
        <v>0</v>
      </c>
      <c r="AZ213" s="8">
        <f t="shared" si="63"/>
        <v>0</v>
      </c>
    </row>
    <row r="214" spans="47:52" x14ac:dyDescent="0.45">
      <c r="AU214" s="1">
        <v>212</v>
      </c>
      <c r="AV214" s="8">
        <f t="shared" si="59"/>
        <v>0</v>
      </c>
      <c r="AW214" s="8">
        <f t="shared" si="60"/>
        <v>0</v>
      </c>
      <c r="AX214" s="8">
        <f t="shared" si="61"/>
        <v>0</v>
      </c>
      <c r="AY214" s="8">
        <f t="shared" si="62"/>
        <v>0</v>
      </c>
      <c r="AZ214" s="8">
        <f t="shared" si="63"/>
        <v>0</v>
      </c>
    </row>
    <row r="215" spans="47:52" x14ac:dyDescent="0.45">
      <c r="AU215" s="1">
        <v>213</v>
      </c>
      <c r="AV215" s="8">
        <f t="shared" si="59"/>
        <v>0</v>
      </c>
      <c r="AW215" s="8">
        <f t="shared" si="60"/>
        <v>0</v>
      </c>
      <c r="AX215" s="8">
        <f t="shared" si="61"/>
        <v>0</v>
      </c>
      <c r="AY215" s="8">
        <f t="shared" si="62"/>
        <v>0</v>
      </c>
      <c r="AZ215" s="8">
        <f t="shared" si="63"/>
        <v>0</v>
      </c>
    </row>
    <row r="216" spans="47:52" x14ac:dyDescent="0.45">
      <c r="AU216" s="1">
        <v>214</v>
      </c>
      <c r="AV216" s="8">
        <f t="shared" si="59"/>
        <v>0</v>
      </c>
      <c r="AW216" s="8">
        <f t="shared" si="60"/>
        <v>0</v>
      </c>
      <c r="AX216" s="8">
        <f t="shared" si="61"/>
        <v>0</v>
      </c>
      <c r="AY216" s="8">
        <f t="shared" si="62"/>
        <v>0</v>
      </c>
      <c r="AZ216" s="8">
        <f t="shared" si="63"/>
        <v>0</v>
      </c>
    </row>
    <row r="217" spans="47:52" x14ac:dyDescent="0.45">
      <c r="AU217" s="1">
        <v>215</v>
      </c>
      <c r="AV217" s="8">
        <f t="shared" si="59"/>
        <v>0</v>
      </c>
      <c r="AW217" s="8">
        <f t="shared" si="60"/>
        <v>0</v>
      </c>
      <c r="AX217" s="8">
        <f t="shared" si="61"/>
        <v>0</v>
      </c>
      <c r="AY217" s="8">
        <f t="shared" si="62"/>
        <v>0</v>
      </c>
      <c r="AZ217" s="8">
        <f t="shared" si="63"/>
        <v>0</v>
      </c>
    </row>
    <row r="218" spans="47:52" x14ac:dyDescent="0.45">
      <c r="AU218" s="1">
        <v>216</v>
      </c>
      <c r="AV218" s="8">
        <f t="shared" si="59"/>
        <v>0</v>
      </c>
      <c r="AW218" s="8">
        <f t="shared" si="60"/>
        <v>0</v>
      </c>
      <c r="AX218" s="8">
        <f t="shared" si="61"/>
        <v>0</v>
      </c>
      <c r="AY218" s="8">
        <f t="shared" si="62"/>
        <v>0</v>
      </c>
      <c r="AZ218" s="8">
        <f t="shared" si="63"/>
        <v>0</v>
      </c>
    </row>
    <row r="219" spans="47:52" x14ac:dyDescent="0.45">
      <c r="AU219" s="1">
        <v>217</v>
      </c>
      <c r="AV219" s="8">
        <f t="shared" si="59"/>
        <v>0</v>
      </c>
      <c r="AW219" s="8">
        <f t="shared" si="60"/>
        <v>0</v>
      </c>
      <c r="AX219" s="8">
        <f t="shared" si="61"/>
        <v>0</v>
      </c>
      <c r="AY219" s="8">
        <f t="shared" si="62"/>
        <v>0</v>
      </c>
      <c r="AZ219" s="8">
        <f t="shared" si="63"/>
        <v>0</v>
      </c>
    </row>
    <row r="220" spans="47:52" x14ac:dyDescent="0.45">
      <c r="AU220" s="1">
        <v>218</v>
      </c>
      <c r="AV220" s="8">
        <f t="shared" si="59"/>
        <v>0</v>
      </c>
      <c r="AW220" s="8">
        <f t="shared" si="60"/>
        <v>0</v>
      </c>
      <c r="AX220" s="8">
        <f t="shared" si="61"/>
        <v>0</v>
      </c>
      <c r="AY220" s="8">
        <f t="shared" si="62"/>
        <v>0</v>
      </c>
      <c r="AZ220" s="8">
        <f t="shared" si="63"/>
        <v>0</v>
      </c>
    </row>
    <row r="221" spans="47:52" x14ac:dyDescent="0.45">
      <c r="AU221" s="1">
        <v>219</v>
      </c>
      <c r="AV221" s="8">
        <f t="shared" si="59"/>
        <v>0</v>
      </c>
      <c r="AW221" s="8">
        <f t="shared" si="60"/>
        <v>0</v>
      </c>
      <c r="AX221" s="8">
        <f t="shared" si="61"/>
        <v>0</v>
      </c>
      <c r="AY221" s="8">
        <f t="shared" si="62"/>
        <v>0</v>
      </c>
      <c r="AZ221" s="8">
        <f t="shared" si="63"/>
        <v>0</v>
      </c>
    </row>
    <row r="222" spans="47:52" x14ac:dyDescent="0.45">
      <c r="AU222" s="1">
        <v>220</v>
      </c>
      <c r="AV222" s="8">
        <f t="shared" si="59"/>
        <v>0</v>
      </c>
      <c r="AW222" s="8">
        <f t="shared" si="60"/>
        <v>0</v>
      </c>
      <c r="AX222" s="8">
        <f t="shared" si="61"/>
        <v>0</v>
      </c>
      <c r="AY222" s="8">
        <f t="shared" si="62"/>
        <v>0</v>
      </c>
      <c r="AZ222" s="8">
        <f t="shared" si="63"/>
        <v>0</v>
      </c>
    </row>
    <row r="223" spans="47:52" x14ac:dyDescent="0.45">
      <c r="AU223" s="1">
        <v>221</v>
      </c>
      <c r="AV223" s="8">
        <f t="shared" si="59"/>
        <v>0</v>
      </c>
      <c r="AW223" s="8">
        <f t="shared" si="60"/>
        <v>0</v>
      </c>
      <c r="AX223" s="8">
        <f t="shared" si="61"/>
        <v>0</v>
      </c>
      <c r="AY223" s="8">
        <f t="shared" si="62"/>
        <v>0</v>
      </c>
      <c r="AZ223" s="8">
        <f t="shared" si="63"/>
        <v>0</v>
      </c>
    </row>
    <row r="224" spans="47:52" x14ac:dyDescent="0.45">
      <c r="AU224" s="1">
        <v>222</v>
      </c>
      <c r="AV224" s="8">
        <f t="shared" si="59"/>
        <v>0</v>
      </c>
      <c r="AW224" s="8">
        <f t="shared" si="60"/>
        <v>0</v>
      </c>
      <c r="AX224" s="8">
        <f t="shared" si="61"/>
        <v>0</v>
      </c>
      <c r="AY224" s="8">
        <f t="shared" si="62"/>
        <v>0</v>
      </c>
      <c r="AZ224" s="8">
        <f t="shared" si="63"/>
        <v>0</v>
      </c>
    </row>
    <row r="225" spans="47:52" x14ac:dyDescent="0.45">
      <c r="AU225" s="1">
        <v>223</v>
      </c>
      <c r="AV225" s="8">
        <f t="shared" si="59"/>
        <v>0</v>
      </c>
      <c r="AW225" s="8">
        <f t="shared" si="60"/>
        <v>0</v>
      </c>
      <c r="AX225" s="8">
        <f t="shared" si="61"/>
        <v>0</v>
      </c>
      <c r="AY225" s="8">
        <f t="shared" si="62"/>
        <v>0</v>
      </c>
      <c r="AZ225" s="8">
        <f t="shared" si="63"/>
        <v>0</v>
      </c>
    </row>
    <row r="226" spans="47:52" x14ac:dyDescent="0.45">
      <c r="AU226" s="1">
        <v>224</v>
      </c>
      <c r="AV226" s="8">
        <f t="shared" si="59"/>
        <v>0</v>
      </c>
      <c r="AW226" s="8">
        <f t="shared" si="60"/>
        <v>0</v>
      </c>
      <c r="AX226" s="8">
        <f t="shared" si="61"/>
        <v>0</v>
      </c>
      <c r="AY226" s="8">
        <f t="shared" si="62"/>
        <v>0</v>
      </c>
      <c r="AZ226" s="8">
        <f t="shared" si="63"/>
        <v>0</v>
      </c>
    </row>
    <row r="227" spans="47:52" x14ac:dyDescent="0.45">
      <c r="AU227" s="1">
        <v>225</v>
      </c>
      <c r="AV227" s="8">
        <f t="shared" si="59"/>
        <v>0</v>
      </c>
      <c r="AW227" s="8">
        <f t="shared" si="60"/>
        <v>0</v>
      </c>
      <c r="AX227" s="8">
        <f t="shared" si="61"/>
        <v>0</v>
      </c>
      <c r="AY227" s="8">
        <f t="shared" si="62"/>
        <v>0</v>
      </c>
      <c r="AZ227" s="8">
        <f t="shared" si="63"/>
        <v>0</v>
      </c>
    </row>
    <row r="228" spans="47:52" x14ac:dyDescent="0.45">
      <c r="AU228" s="1">
        <v>226</v>
      </c>
      <c r="AV228" s="8">
        <f t="shared" si="59"/>
        <v>0</v>
      </c>
      <c r="AW228" s="8">
        <f t="shared" si="60"/>
        <v>0</v>
      </c>
      <c r="AX228" s="8">
        <f t="shared" si="61"/>
        <v>0</v>
      </c>
      <c r="AY228" s="8">
        <f t="shared" si="62"/>
        <v>0</v>
      </c>
      <c r="AZ228" s="8">
        <f t="shared" si="63"/>
        <v>0</v>
      </c>
    </row>
    <row r="229" spans="47:52" x14ac:dyDescent="0.45">
      <c r="AU229" s="1">
        <v>227</v>
      </c>
      <c r="AV229" s="8">
        <f t="shared" si="59"/>
        <v>0</v>
      </c>
      <c r="AW229" s="8">
        <f t="shared" si="60"/>
        <v>0</v>
      </c>
      <c r="AX229" s="8">
        <f t="shared" si="61"/>
        <v>0</v>
      </c>
      <c r="AY229" s="8">
        <f t="shared" si="62"/>
        <v>0</v>
      </c>
      <c r="AZ229" s="8">
        <f t="shared" si="63"/>
        <v>0</v>
      </c>
    </row>
    <row r="230" spans="47:52" x14ac:dyDescent="0.45">
      <c r="AU230" s="1">
        <v>228</v>
      </c>
      <c r="AV230" s="8">
        <f t="shared" si="59"/>
        <v>0</v>
      </c>
      <c r="AW230" s="8">
        <f t="shared" si="60"/>
        <v>0</v>
      </c>
      <c r="AX230" s="8">
        <f t="shared" si="61"/>
        <v>0</v>
      </c>
      <c r="AY230" s="8">
        <f t="shared" si="62"/>
        <v>0</v>
      </c>
      <c r="AZ230" s="8">
        <f t="shared" si="63"/>
        <v>0</v>
      </c>
    </row>
    <row r="231" spans="47:52" x14ac:dyDescent="0.45">
      <c r="AU231" s="1">
        <v>229</v>
      </c>
      <c r="AV231" s="8">
        <f t="shared" si="59"/>
        <v>0</v>
      </c>
      <c r="AW231" s="8">
        <f t="shared" si="60"/>
        <v>0</v>
      </c>
      <c r="AX231" s="8">
        <f t="shared" si="61"/>
        <v>0</v>
      </c>
      <c r="AY231" s="8">
        <f t="shared" si="62"/>
        <v>0</v>
      </c>
      <c r="AZ231" s="8">
        <f t="shared" si="63"/>
        <v>0</v>
      </c>
    </row>
    <row r="232" spans="47:52" x14ac:dyDescent="0.45">
      <c r="AU232" s="1">
        <v>230</v>
      </c>
      <c r="AV232" s="8">
        <f t="shared" si="59"/>
        <v>0</v>
      </c>
      <c r="AW232" s="8">
        <f t="shared" si="60"/>
        <v>0</v>
      </c>
      <c r="AX232" s="8">
        <f t="shared" si="61"/>
        <v>0</v>
      </c>
      <c r="AY232" s="8">
        <f t="shared" si="62"/>
        <v>0</v>
      </c>
      <c r="AZ232" s="8">
        <f t="shared" si="63"/>
        <v>0</v>
      </c>
    </row>
    <row r="233" spans="47:52" x14ac:dyDescent="0.45">
      <c r="AU233" s="1">
        <v>231</v>
      </c>
      <c r="AV233" s="8">
        <f t="shared" si="59"/>
        <v>0</v>
      </c>
      <c r="AW233" s="8">
        <f t="shared" si="60"/>
        <v>0</v>
      </c>
      <c r="AX233" s="8">
        <f t="shared" si="61"/>
        <v>0</v>
      </c>
      <c r="AY233" s="8">
        <f t="shared" si="62"/>
        <v>0</v>
      </c>
      <c r="AZ233" s="8">
        <f t="shared" si="63"/>
        <v>0</v>
      </c>
    </row>
    <row r="234" spans="47:52" x14ac:dyDescent="0.45">
      <c r="AU234" s="1">
        <v>232</v>
      </c>
      <c r="AV234" s="8">
        <f t="shared" si="59"/>
        <v>0</v>
      </c>
      <c r="AW234" s="8">
        <f t="shared" si="60"/>
        <v>0</v>
      </c>
      <c r="AX234" s="8">
        <f t="shared" si="61"/>
        <v>0</v>
      </c>
      <c r="AY234" s="8">
        <f t="shared" si="62"/>
        <v>0</v>
      </c>
      <c r="AZ234" s="8">
        <f t="shared" si="63"/>
        <v>0</v>
      </c>
    </row>
    <row r="235" spans="47:52" x14ac:dyDescent="0.45">
      <c r="AU235" s="1">
        <v>233</v>
      </c>
      <c r="AV235" s="8">
        <f t="shared" si="59"/>
        <v>0</v>
      </c>
      <c r="AW235" s="8">
        <f t="shared" si="60"/>
        <v>0</v>
      </c>
      <c r="AX235" s="8">
        <f t="shared" si="61"/>
        <v>0</v>
      </c>
      <c r="AY235" s="8">
        <f t="shared" si="62"/>
        <v>0</v>
      </c>
      <c r="AZ235" s="8">
        <f t="shared" si="63"/>
        <v>0</v>
      </c>
    </row>
    <row r="236" spans="47:52" x14ac:dyDescent="0.45">
      <c r="AU236" s="1">
        <v>234</v>
      </c>
      <c r="AV236" s="8">
        <f t="shared" si="59"/>
        <v>0</v>
      </c>
      <c r="AW236" s="8">
        <f t="shared" si="60"/>
        <v>0</v>
      </c>
      <c r="AX236" s="8">
        <f t="shared" si="61"/>
        <v>0</v>
      </c>
      <c r="AY236" s="8">
        <f t="shared" si="62"/>
        <v>0</v>
      </c>
      <c r="AZ236" s="8">
        <f t="shared" si="63"/>
        <v>0</v>
      </c>
    </row>
    <row r="237" spans="47:52" x14ac:dyDescent="0.45">
      <c r="AU237" s="1">
        <v>235</v>
      </c>
      <c r="AV237" s="8">
        <f t="shared" si="59"/>
        <v>0</v>
      </c>
      <c r="AW237" s="8">
        <f t="shared" si="60"/>
        <v>0</v>
      </c>
      <c r="AX237" s="8">
        <f t="shared" si="61"/>
        <v>0</v>
      </c>
      <c r="AY237" s="8">
        <f t="shared" si="62"/>
        <v>0</v>
      </c>
      <c r="AZ237" s="8">
        <f t="shared" si="63"/>
        <v>0</v>
      </c>
    </row>
    <row r="238" spans="47:52" x14ac:dyDescent="0.45">
      <c r="AU238" s="1">
        <v>236</v>
      </c>
      <c r="AV238" s="8">
        <f t="shared" si="59"/>
        <v>0</v>
      </c>
      <c r="AW238" s="8">
        <f t="shared" si="60"/>
        <v>0</v>
      </c>
      <c r="AX238" s="8">
        <f t="shared" si="61"/>
        <v>0</v>
      </c>
      <c r="AY238" s="8">
        <f t="shared" si="62"/>
        <v>0</v>
      </c>
      <c r="AZ238" s="8">
        <f t="shared" si="63"/>
        <v>0</v>
      </c>
    </row>
    <row r="239" spans="47:52" x14ac:dyDescent="0.45">
      <c r="AU239" s="1">
        <v>237</v>
      </c>
      <c r="AV239" s="8">
        <f t="shared" si="59"/>
        <v>0</v>
      </c>
      <c r="AW239" s="8">
        <f t="shared" si="60"/>
        <v>0</v>
      </c>
      <c r="AX239" s="8">
        <f t="shared" si="61"/>
        <v>0</v>
      </c>
      <c r="AY239" s="8">
        <f t="shared" si="62"/>
        <v>0</v>
      </c>
      <c r="AZ239" s="8">
        <f t="shared" si="63"/>
        <v>0</v>
      </c>
    </row>
    <row r="240" spans="47:52" x14ac:dyDescent="0.45">
      <c r="AU240" s="1">
        <v>238</v>
      </c>
      <c r="AV240" s="8">
        <f t="shared" si="59"/>
        <v>0</v>
      </c>
      <c r="AW240" s="8">
        <f t="shared" si="60"/>
        <v>0</v>
      </c>
      <c r="AX240" s="8">
        <f t="shared" si="61"/>
        <v>0</v>
      </c>
      <c r="AY240" s="8">
        <f t="shared" si="62"/>
        <v>0</v>
      </c>
      <c r="AZ240" s="8">
        <f t="shared" si="63"/>
        <v>0</v>
      </c>
    </row>
    <row r="241" spans="47:52" x14ac:dyDescent="0.45">
      <c r="AU241" s="1">
        <v>239</v>
      </c>
      <c r="AV241" s="8">
        <f t="shared" si="59"/>
        <v>0</v>
      </c>
      <c r="AW241" s="8">
        <f t="shared" si="60"/>
        <v>0</v>
      </c>
      <c r="AX241" s="8">
        <f t="shared" si="61"/>
        <v>0</v>
      </c>
      <c r="AY241" s="8">
        <f t="shared" si="62"/>
        <v>0</v>
      </c>
      <c r="AZ241" s="8">
        <f t="shared" si="63"/>
        <v>0</v>
      </c>
    </row>
    <row r="242" spans="47:52" x14ac:dyDescent="0.45">
      <c r="AU242" s="1">
        <v>240</v>
      </c>
      <c r="AV242" s="8">
        <f t="shared" si="59"/>
        <v>0</v>
      </c>
      <c r="AW242" s="8">
        <f t="shared" si="60"/>
        <v>0</v>
      </c>
      <c r="AX242" s="8">
        <f t="shared" si="61"/>
        <v>0</v>
      </c>
      <c r="AY242" s="8">
        <f t="shared" si="62"/>
        <v>0</v>
      </c>
      <c r="AZ242" s="8">
        <f t="shared" si="63"/>
        <v>0</v>
      </c>
    </row>
    <row r="243" spans="47:52" x14ac:dyDescent="0.45">
      <c r="AU243" s="1">
        <v>241</v>
      </c>
      <c r="AV243" s="8">
        <f t="shared" si="59"/>
        <v>0</v>
      </c>
      <c r="AW243" s="8">
        <f t="shared" si="60"/>
        <v>0</v>
      </c>
      <c r="AX243" s="8">
        <f t="shared" si="61"/>
        <v>0</v>
      </c>
      <c r="AY243" s="8">
        <f t="shared" si="62"/>
        <v>0</v>
      </c>
      <c r="AZ243" s="8">
        <f t="shared" si="63"/>
        <v>0</v>
      </c>
    </row>
    <row r="244" spans="47:52" x14ac:dyDescent="0.45">
      <c r="AU244" s="1">
        <v>242</v>
      </c>
      <c r="AV244" s="8">
        <f t="shared" si="59"/>
        <v>0</v>
      </c>
      <c r="AW244" s="8">
        <f t="shared" si="60"/>
        <v>0</v>
      </c>
      <c r="AX244" s="8">
        <f t="shared" si="61"/>
        <v>0</v>
      </c>
      <c r="AY244" s="8">
        <f t="shared" si="62"/>
        <v>0</v>
      </c>
      <c r="AZ244" s="8">
        <f t="shared" si="63"/>
        <v>0</v>
      </c>
    </row>
    <row r="245" spans="47:52" x14ac:dyDescent="0.45">
      <c r="AU245" s="1">
        <v>243</v>
      </c>
      <c r="AV245" s="8">
        <f t="shared" si="59"/>
        <v>0</v>
      </c>
      <c r="AW245" s="8">
        <f t="shared" si="60"/>
        <v>0</v>
      </c>
      <c r="AX245" s="8">
        <f t="shared" si="61"/>
        <v>0</v>
      </c>
      <c r="AY245" s="8">
        <f t="shared" si="62"/>
        <v>0</v>
      </c>
      <c r="AZ245" s="8">
        <f t="shared" si="63"/>
        <v>0</v>
      </c>
    </row>
    <row r="246" spans="47:52" x14ac:dyDescent="0.45">
      <c r="AU246" s="1">
        <v>244</v>
      </c>
      <c r="AV246" s="8">
        <f t="shared" si="59"/>
        <v>0</v>
      </c>
      <c r="AW246" s="8">
        <f t="shared" si="60"/>
        <v>0</v>
      </c>
      <c r="AX246" s="8">
        <f t="shared" si="61"/>
        <v>0</v>
      </c>
      <c r="AY246" s="8">
        <f t="shared" si="62"/>
        <v>0</v>
      </c>
      <c r="AZ246" s="8">
        <f t="shared" si="63"/>
        <v>0</v>
      </c>
    </row>
    <row r="247" spans="47:52" x14ac:dyDescent="0.45">
      <c r="AU247" s="1">
        <v>245</v>
      </c>
      <c r="AV247" s="8">
        <f t="shared" si="59"/>
        <v>0</v>
      </c>
      <c r="AW247" s="8">
        <f t="shared" si="60"/>
        <v>0</v>
      </c>
      <c r="AX247" s="8">
        <f t="shared" si="61"/>
        <v>0</v>
      </c>
      <c r="AY247" s="8">
        <f t="shared" si="62"/>
        <v>0</v>
      </c>
      <c r="AZ247" s="8">
        <f t="shared" si="63"/>
        <v>0</v>
      </c>
    </row>
    <row r="248" spans="47:52" x14ac:dyDescent="0.45">
      <c r="AU248" s="1">
        <v>246</v>
      </c>
      <c r="AV248" s="8">
        <f t="shared" si="59"/>
        <v>0</v>
      </c>
      <c r="AW248" s="8">
        <f t="shared" si="60"/>
        <v>0</v>
      </c>
      <c r="AX248" s="8">
        <f t="shared" si="61"/>
        <v>0</v>
      </c>
      <c r="AY248" s="8">
        <f t="shared" si="62"/>
        <v>0</v>
      </c>
      <c r="AZ248" s="8">
        <f t="shared" si="63"/>
        <v>0</v>
      </c>
    </row>
    <row r="249" spans="47:52" x14ac:dyDescent="0.45">
      <c r="AU249" s="1">
        <v>247</v>
      </c>
      <c r="AV249" s="8">
        <f t="shared" si="59"/>
        <v>0</v>
      </c>
      <c r="AW249" s="8">
        <f t="shared" si="60"/>
        <v>0</v>
      </c>
      <c r="AX249" s="8">
        <f t="shared" si="61"/>
        <v>0</v>
      </c>
      <c r="AY249" s="8">
        <f t="shared" si="62"/>
        <v>0</v>
      </c>
      <c r="AZ249" s="8">
        <f t="shared" si="63"/>
        <v>0</v>
      </c>
    </row>
    <row r="250" spans="47:52" x14ac:dyDescent="0.45">
      <c r="AU250" s="1">
        <v>248</v>
      </c>
      <c r="AV250" s="8">
        <f t="shared" si="59"/>
        <v>0</v>
      </c>
      <c r="AW250" s="8">
        <f t="shared" si="60"/>
        <v>0</v>
      </c>
      <c r="AX250" s="8">
        <f t="shared" si="61"/>
        <v>0</v>
      </c>
      <c r="AY250" s="8">
        <f t="shared" si="62"/>
        <v>0</v>
      </c>
      <c r="AZ250" s="8">
        <f t="shared" si="63"/>
        <v>0</v>
      </c>
    </row>
    <row r="251" spans="47:52" x14ac:dyDescent="0.45">
      <c r="AU251" s="1">
        <v>249</v>
      </c>
      <c r="AV251" s="8">
        <f t="shared" si="59"/>
        <v>0</v>
      </c>
      <c r="AW251" s="8">
        <f t="shared" si="60"/>
        <v>0</v>
      </c>
      <c r="AX251" s="8">
        <f t="shared" si="61"/>
        <v>0</v>
      </c>
      <c r="AY251" s="8">
        <f t="shared" si="62"/>
        <v>0</v>
      </c>
      <c r="AZ251" s="8">
        <f t="shared" si="63"/>
        <v>0</v>
      </c>
    </row>
    <row r="252" spans="47:52" x14ac:dyDescent="0.45">
      <c r="AU252" s="1">
        <v>250</v>
      </c>
      <c r="AV252" s="8">
        <f t="shared" si="59"/>
        <v>0</v>
      </c>
      <c r="AW252" s="8">
        <f t="shared" si="60"/>
        <v>0</v>
      </c>
      <c r="AX252" s="8">
        <f t="shared" si="61"/>
        <v>0</v>
      </c>
      <c r="AY252" s="8">
        <f t="shared" si="62"/>
        <v>0</v>
      </c>
      <c r="AZ252" s="8">
        <f t="shared" si="63"/>
        <v>0</v>
      </c>
    </row>
    <row r="253" spans="47:52" x14ac:dyDescent="0.45">
      <c r="AU253" s="1">
        <v>251</v>
      </c>
      <c r="AV253" s="8">
        <f t="shared" si="59"/>
        <v>0</v>
      </c>
      <c r="AW253" s="8">
        <f t="shared" si="60"/>
        <v>0</v>
      </c>
      <c r="AX253" s="8">
        <f t="shared" si="61"/>
        <v>0</v>
      </c>
      <c r="AY253" s="8">
        <f t="shared" si="62"/>
        <v>0</v>
      </c>
      <c r="AZ253" s="8">
        <f t="shared" si="63"/>
        <v>0</v>
      </c>
    </row>
    <row r="254" spans="47:52" x14ac:dyDescent="0.45">
      <c r="AU254" s="1">
        <v>252</v>
      </c>
      <c r="AV254" s="8">
        <f t="shared" si="59"/>
        <v>0</v>
      </c>
      <c r="AW254" s="8">
        <f t="shared" si="60"/>
        <v>0</v>
      </c>
      <c r="AX254" s="8">
        <f t="shared" si="61"/>
        <v>0</v>
      </c>
      <c r="AY254" s="8">
        <f t="shared" si="62"/>
        <v>0</v>
      </c>
      <c r="AZ254" s="8">
        <f t="shared" si="63"/>
        <v>0</v>
      </c>
    </row>
    <row r="255" spans="47:52" x14ac:dyDescent="0.45">
      <c r="AU255" s="1">
        <v>253</v>
      </c>
      <c r="AV255" s="8">
        <f t="shared" si="59"/>
        <v>0</v>
      </c>
      <c r="AW255" s="8">
        <f t="shared" si="60"/>
        <v>0</v>
      </c>
      <c r="AX255" s="8">
        <f t="shared" si="61"/>
        <v>0</v>
      </c>
      <c r="AY255" s="8">
        <f t="shared" si="62"/>
        <v>0</v>
      </c>
      <c r="AZ255" s="8">
        <f t="shared" si="63"/>
        <v>0</v>
      </c>
    </row>
    <row r="256" spans="47:52" x14ac:dyDescent="0.45">
      <c r="AU256" s="1">
        <v>254</v>
      </c>
      <c r="AV256" s="8">
        <f t="shared" si="59"/>
        <v>0</v>
      </c>
      <c r="AW256" s="8">
        <f t="shared" si="60"/>
        <v>0</v>
      </c>
      <c r="AX256" s="8">
        <f t="shared" si="61"/>
        <v>0</v>
      </c>
      <c r="AY256" s="8">
        <f t="shared" si="62"/>
        <v>0</v>
      </c>
      <c r="AZ256" s="8">
        <f t="shared" si="63"/>
        <v>0</v>
      </c>
    </row>
    <row r="257" spans="47:52" x14ac:dyDescent="0.45">
      <c r="AU257" s="1">
        <v>255</v>
      </c>
      <c r="AV257" s="8">
        <f t="shared" si="59"/>
        <v>0.39583333333333331</v>
      </c>
      <c r="AW257" s="8">
        <f t="shared" si="60"/>
        <v>0</v>
      </c>
      <c r="AX257" s="8">
        <f t="shared" si="61"/>
        <v>0.58333333333333337</v>
      </c>
      <c r="AY257" s="8">
        <f t="shared" si="62"/>
        <v>0.5</v>
      </c>
      <c r="AZ257" s="8">
        <f t="shared" si="63"/>
        <v>0.5</v>
      </c>
    </row>
  </sheetData>
  <mergeCells count="17">
    <mergeCell ref="T98:AD98"/>
    <mergeCell ref="S1:AD1"/>
    <mergeCell ref="T53:AC53"/>
    <mergeCell ref="AO90:AP90"/>
    <mergeCell ref="AR90:AS90"/>
    <mergeCell ref="A2:A16"/>
    <mergeCell ref="A20:A49"/>
    <mergeCell ref="A53:A82"/>
    <mergeCell ref="AF90:AG90"/>
    <mergeCell ref="AI90:AJ90"/>
    <mergeCell ref="T86:AC86"/>
    <mergeCell ref="A86:A115"/>
    <mergeCell ref="AE53:AN53"/>
    <mergeCell ref="X65:Z65"/>
    <mergeCell ref="T70:AC70"/>
    <mergeCell ref="AH65:AJ65"/>
    <mergeCell ref="AL90:AM90"/>
  </mergeCells>
  <conditionalFormatting sqref="S2:AD13">
    <cfRule type="expression" dxfId="17" priority="34">
      <formula>S2&gt;MEDIAN($S$2:$Y$8)</formula>
    </cfRule>
    <cfRule type="colorScale" priority="35">
      <colorScale>
        <cfvo type="num" val="0"/>
        <cfvo type="percentile" val="50"/>
        <cfvo type="num" val="255"/>
        <color theme="1"/>
        <color theme="1" tint="0.499984740745262"/>
        <color theme="0"/>
      </colorScale>
    </cfRule>
  </conditionalFormatting>
  <conditionalFormatting sqref="AF91:AG92">
    <cfRule type="expression" dxfId="16" priority="17">
      <formula>AF91&gt;MEDIAN(AF$16:AZ$25)</formula>
    </cfRule>
    <cfRule type="colorScale" priority="18">
      <colorScale>
        <cfvo type="min"/>
        <cfvo type="percentile" val="50"/>
        <cfvo type="max"/>
        <color theme="1"/>
        <color theme="1" tint="0.499984740745262"/>
        <color theme="0"/>
      </colorScale>
    </cfRule>
  </conditionalFormatting>
  <conditionalFormatting sqref="AI91:AJ92">
    <cfRule type="expression" dxfId="15" priority="15">
      <formula>AI91&gt;MEDIAN(AI$16:BC$25)</formula>
    </cfRule>
    <cfRule type="colorScale" priority="16">
      <colorScale>
        <cfvo type="min"/>
        <cfvo type="percentile" val="50"/>
        <cfvo type="max"/>
        <color theme="1"/>
        <color theme="1" tint="0.499984740745262"/>
        <color theme="0"/>
      </colorScale>
    </cfRule>
  </conditionalFormatting>
  <conditionalFormatting sqref="AL91:AM92">
    <cfRule type="expression" dxfId="14" priority="13">
      <formula>AL91&gt;MEDIAN(AL$16:BF$25)</formula>
    </cfRule>
    <cfRule type="colorScale" priority="14">
      <colorScale>
        <cfvo type="min"/>
        <cfvo type="percentile" val="50"/>
        <cfvo type="max"/>
        <color theme="1"/>
        <color theme="1" tint="0.499984740745262"/>
        <color theme="0"/>
      </colorScale>
    </cfRule>
  </conditionalFormatting>
  <conditionalFormatting sqref="AO91:AP92">
    <cfRule type="expression" dxfId="13" priority="11">
      <formula>AO91&gt;MEDIAN(AO$16:BI$25)</formula>
    </cfRule>
    <cfRule type="colorScale" priority="12">
      <colorScale>
        <cfvo type="min"/>
        <cfvo type="percentile" val="50"/>
        <cfvo type="max"/>
        <color theme="1"/>
        <color theme="1" tint="0.499984740745262"/>
        <color theme="0"/>
      </colorScale>
    </cfRule>
  </conditionalFormatting>
  <conditionalFormatting sqref="AR91:AS92">
    <cfRule type="expression" dxfId="12" priority="9">
      <formula>AR91&gt;MEDIAN(AR$16:BL$25)</formula>
    </cfRule>
    <cfRule type="colorScale" priority="10">
      <colorScale>
        <cfvo type="min"/>
        <cfvo type="percentile" val="50"/>
        <cfvo type="max"/>
        <color theme="1"/>
        <color theme="1" tint="0.499984740745262"/>
        <color theme="0"/>
      </colorScale>
    </cfRule>
  </conditionalFormatting>
  <conditionalFormatting sqref="T99:AD109">
    <cfRule type="cellIs" dxfId="11" priority="6" operator="equal">
      <formula>5</formula>
    </cfRule>
    <cfRule type="cellIs" dxfId="10" priority="7" operator="equal">
      <formula>2</formula>
    </cfRule>
    <cfRule type="cellIs" dxfId="9" priority="8" operator="equal">
      <formula>1</formula>
    </cfRule>
  </conditionalFormatting>
  <conditionalFormatting sqref="T87:AC96">
    <cfRule type="cellIs" dxfId="8" priority="3" operator="equal">
      <formula>5</formula>
    </cfRule>
    <cfRule type="cellIs" dxfId="7" priority="4" operator="equal">
      <formula>2</formula>
    </cfRule>
    <cfRule type="cellIs" dxfId="6" priority="5" operator="equal">
      <formula>1</formula>
    </cfRule>
  </conditionalFormatting>
  <conditionalFormatting sqref="X66:Z68">
    <cfRule type="expression" dxfId="5" priority="101">
      <formula>X66&gt;MEDIAN(AF$16:AZ$25)</formula>
    </cfRule>
    <cfRule type="colorScale" priority="102">
      <colorScale>
        <cfvo type="min"/>
        <cfvo type="percentile" val="50"/>
        <cfvo type="max"/>
        <color theme="1"/>
        <color theme="1" tint="0.499984740745262"/>
        <color theme="0"/>
      </colorScale>
    </cfRule>
  </conditionalFormatting>
  <conditionalFormatting sqref="AH66:AJ68">
    <cfRule type="expression" dxfId="4" priority="103">
      <formula>AH66&gt;MEDIAN(AF$16:AZ$25)</formula>
    </cfRule>
    <cfRule type="colorScale" priority="104">
      <colorScale>
        <cfvo type="min"/>
        <cfvo type="percentile" val="50"/>
        <cfvo type="max"/>
        <color theme="1"/>
        <color theme="1" tint="0.499984740745262"/>
        <color theme="0"/>
      </colorScale>
    </cfRule>
  </conditionalFormatting>
  <conditionalFormatting sqref="T54:AC63">
    <cfRule type="expression" dxfId="3" priority="157">
      <formula>T54&gt;MEDIAN(T$54:AC$63)</formula>
    </cfRule>
    <cfRule type="colorScale" priority="158">
      <colorScale>
        <cfvo type="min"/>
        <cfvo type="percentile" val="50"/>
        <cfvo type="max"/>
        <color theme="1"/>
        <color theme="1" tint="0.499984740745262"/>
        <color theme="0"/>
      </colorScale>
    </cfRule>
  </conditionalFormatting>
  <conditionalFormatting sqref="AE54:AN63">
    <cfRule type="expression" dxfId="2" priority="1">
      <formula>AE54&gt;MEDIAN(AE$54:AN$63)</formula>
    </cfRule>
    <cfRule type="colorScale" priority="2">
      <colorScale>
        <cfvo type="min"/>
        <cfvo type="percentile" val="50"/>
        <cfvo type="max"/>
        <color theme="1"/>
        <color theme="1" tint="0.499984740745262"/>
        <color theme="0"/>
      </colorScale>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CCFB1-BD34-40D3-A56D-DC18793DA464}">
  <sheetPr codeName="Hoja3"/>
  <dimension ref="A1:Z257"/>
  <sheetViews>
    <sheetView topLeftCell="A2" zoomScale="73" workbookViewId="0">
      <selection activeCell="K25" sqref="K25"/>
    </sheetView>
  </sheetViews>
  <sheetFormatPr baseColWidth="10" defaultRowHeight="14.25" x14ac:dyDescent="0.45"/>
  <cols>
    <col min="1" max="1" width="4.59765625" customWidth="1"/>
    <col min="2" max="2" width="10.6640625" customWidth="1"/>
    <col min="13" max="23" width="5.59765625" customWidth="1"/>
    <col min="25" max="25" width="5.9296875" style="10" bestFit="1" customWidth="1"/>
    <col min="26" max="26" width="9.33203125" style="10" bestFit="1" customWidth="1"/>
  </cols>
  <sheetData>
    <row r="1" spans="1:26" x14ac:dyDescent="0.45">
      <c r="A1" s="23" t="s">
        <v>21</v>
      </c>
      <c r="B1" s="29" t="s">
        <v>34</v>
      </c>
      <c r="C1" s="29"/>
      <c r="D1" s="29"/>
      <c r="E1" s="29"/>
      <c r="F1" s="29"/>
      <c r="G1" s="29"/>
      <c r="H1" s="29"/>
      <c r="I1" s="29"/>
      <c r="J1" s="29"/>
      <c r="K1" s="29"/>
      <c r="Y1" s="10" t="s">
        <v>10</v>
      </c>
      <c r="Z1" s="10" t="s">
        <v>12</v>
      </c>
    </row>
    <row r="2" spans="1:26" ht="42.75" customHeight="1" x14ac:dyDescent="0.45">
      <c r="B2" s="30" t="s">
        <v>35</v>
      </c>
      <c r="C2" s="30"/>
      <c r="D2" s="30"/>
      <c r="E2" s="30"/>
      <c r="F2" s="30"/>
      <c r="G2" s="30"/>
      <c r="H2" s="30"/>
      <c r="I2" s="30"/>
      <c r="J2" s="30"/>
      <c r="K2" s="30"/>
      <c r="Y2" s="10">
        <v>0</v>
      </c>
      <c r="Z2" s="8">
        <f>COUNTIF($B$8:$D$10,  $Y2) / COUNT($B$8:$D$10)</f>
        <v>0</v>
      </c>
    </row>
    <row r="3" spans="1:26" x14ac:dyDescent="0.45">
      <c r="Y3" s="10">
        <v>1</v>
      </c>
      <c r="Z3" s="8">
        <f t="shared" ref="Z3:Z66" si="0">COUNTIF($B$8:$D$10,  $Y3) / COUNT($B$8:$D$10)</f>
        <v>0</v>
      </c>
    </row>
    <row r="4" spans="1:26" ht="14.25" customHeight="1" x14ac:dyDescent="0.45">
      <c r="A4" s="23" t="s">
        <v>22</v>
      </c>
      <c r="B4" s="31" t="s">
        <v>37</v>
      </c>
      <c r="C4" s="31"/>
      <c r="D4" s="31"/>
      <c r="E4" s="31"/>
      <c r="F4" s="31"/>
      <c r="G4" s="31"/>
      <c r="H4" s="31"/>
      <c r="I4" s="31"/>
      <c r="J4" s="31"/>
      <c r="K4" s="31"/>
      <c r="Y4" s="10">
        <v>2</v>
      </c>
      <c r="Z4" s="8">
        <f t="shared" si="0"/>
        <v>0</v>
      </c>
    </row>
    <row r="5" spans="1:26" ht="30" customHeight="1" x14ac:dyDescent="0.45">
      <c r="B5" s="32" t="s">
        <v>36</v>
      </c>
      <c r="C5" s="32"/>
      <c r="D5" s="32"/>
      <c r="E5" s="32"/>
      <c r="F5" s="32"/>
      <c r="G5" s="32"/>
      <c r="H5" s="32"/>
      <c r="I5" s="32"/>
      <c r="J5" s="32"/>
      <c r="K5" s="32"/>
      <c r="Y5" s="10">
        <v>3</v>
      </c>
      <c r="Z5" s="8">
        <f t="shared" si="0"/>
        <v>0</v>
      </c>
    </row>
    <row r="6" spans="1:26" x14ac:dyDescent="0.45">
      <c r="Y6" s="10">
        <v>4</v>
      </c>
      <c r="Z6" s="8">
        <f t="shared" si="0"/>
        <v>0</v>
      </c>
    </row>
    <row r="7" spans="1:26" x14ac:dyDescent="0.45">
      <c r="A7" s="28" t="s">
        <v>40</v>
      </c>
      <c r="B7" s="27" t="s">
        <v>39</v>
      </c>
      <c r="C7" s="27"/>
      <c r="D7" s="27"/>
      <c r="G7" s="27" t="s">
        <v>38</v>
      </c>
      <c r="H7" s="27"/>
      <c r="I7" s="27"/>
      <c r="J7" s="27"/>
      <c r="K7" s="27"/>
      <c r="Y7" s="10">
        <v>5</v>
      </c>
      <c r="Z7" s="8">
        <f t="shared" si="0"/>
        <v>0</v>
      </c>
    </row>
    <row r="8" spans="1:26" x14ac:dyDescent="0.45">
      <c r="A8" s="28"/>
      <c r="B8" s="6">
        <v>31</v>
      </c>
      <c r="C8" s="6">
        <v>255</v>
      </c>
      <c r="D8" s="6">
        <v>241</v>
      </c>
      <c r="G8" s="6">
        <v>0</v>
      </c>
      <c r="H8" s="6">
        <v>100</v>
      </c>
      <c r="I8" s="6">
        <v>100</v>
      </c>
      <c r="J8" s="6">
        <v>100</v>
      </c>
      <c r="K8" s="6">
        <v>0</v>
      </c>
      <c r="Y8" s="10">
        <v>6</v>
      </c>
      <c r="Z8" s="8">
        <f t="shared" si="0"/>
        <v>0</v>
      </c>
    </row>
    <row r="9" spans="1:26" x14ac:dyDescent="0.45">
      <c r="A9" s="28"/>
      <c r="B9" s="6">
        <v>31</v>
      </c>
      <c r="C9" s="6">
        <v>255</v>
      </c>
      <c r="D9" s="6">
        <v>241</v>
      </c>
      <c r="G9" s="6">
        <v>0</v>
      </c>
      <c r="H9" s="6">
        <v>100</v>
      </c>
      <c r="I9" s="6">
        <v>100</v>
      </c>
      <c r="J9" s="6">
        <v>100</v>
      </c>
      <c r="K9" s="6">
        <v>0</v>
      </c>
      <c r="M9">
        <f>IF(G8&gt;=$H$9, 1, 0)</f>
        <v>0</v>
      </c>
      <c r="N9">
        <f>IF(H8&gt;=$H$9, 1, 0)</f>
        <v>1</v>
      </c>
      <c r="O9">
        <f>IF(I8&gt;=$H$9, 1, 0)</f>
        <v>1</v>
      </c>
      <c r="Q9">
        <f>IF(H8&gt;=$I$9, 1, 0)</f>
        <v>1</v>
      </c>
      <c r="R9">
        <f>IF(I8&gt;=$I$9, 1, 0)</f>
        <v>1</v>
      </c>
      <c r="S9">
        <f>IF(J8&gt;=$I$9, 1, 0)</f>
        <v>1</v>
      </c>
      <c r="U9">
        <f>IF(I8&gt;=$J$9, 1, 0)</f>
        <v>1</v>
      </c>
      <c r="V9">
        <f>IF(J8&gt;=$J$9, 1, 0)</f>
        <v>1</v>
      </c>
      <c r="W9">
        <f>IF(K8&gt;=$J$9, 1, 0)</f>
        <v>0</v>
      </c>
      <c r="Y9" s="10">
        <v>7</v>
      </c>
      <c r="Z9" s="8">
        <f t="shared" si="0"/>
        <v>0</v>
      </c>
    </row>
    <row r="10" spans="1:26" x14ac:dyDescent="0.45">
      <c r="A10" s="28"/>
      <c r="B10" s="6">
        <v>31</v>
      </c>
      <c r="C10" s="6">
        <v>255</v>
      </c>
      <c r="D10" s="6">
        <v>241</v>
      </c>
      <c r="G10" s="6">
        <v>0</v>
      </c>
      <c r="H10" s="6">
        <v>100</v>
      </c>
      <c r="I10" s="6">
        <v>100</v>
      </c>
      <c r="J10" s="6">
        <v>100</v>
      </c>
      <c r="K10" s="6">
        <v>0</v>
      </c>
      <c r="M10">
        <f>IF(G9&gt;=$H$9, 1, 0)</f>
        <v>0</v>
      </c>
      <c r="N10">
        <f>BIN2DEC(11111)</f>
        <v>31</v>
      </c>
      <c r="O10">
        <f>IF(I9&gt;=$H$9, 1, 0)</f>
        <v>1</v>
      </c>
      <c r="Q10">
        <f>IF(H9&gt;=$I$9, 1, 0)</f>
        <v>1</v>
      </c>
      <c r="R10">
        <f>BIN2DEC(11111111)</f>
        <v>255</v>
      </c>
      <c r="S10">
        <f>IF(J9&gt;=$I$9, 1, 0)</f>
        <v>1</v>
      </c>
      <c r="U10">
        <f>IF(I9&gt;=$J$9, 1, 0)</f>
        <v>1</v>
      </c>
      <c r="V10">
        <f>BIN2DEC(11110001)</f>
        <v>241</v>
      </c>
      <c r="W10">
        <f>IF(K9&gt;=$J$9, 1, 0)</f>
        <v>0</v>
      </c>
      <c r="Y10" s="10">
        <v>8</v>
      </c>
      <c r="Z10" s="8">
        <f t="shared" si="0"/>
        <v>0</v>
      </c>
    </row>
    <row r="11" spans="1:26" x14ac:dyDescent="0.45">
      <c r="G11" s="6">
        <v>0</v>
      </c>
      <c r="H11" s="6">
        <v>100</v>
      </c>
      <c r="I11" s="6">
        <v>100</v>
      </c>
      <c r="J11" s="6">
        <v>100</v>
      </c>
      <c r="K11" s="6">
        <v>0</v>
      </c>
      <c r="M11">
        <f>IF(G10&gt;=$H$9, 1, 0)</f>
        <v>0</v>
      </c>
      <c r="N11">
        <f>IF(H10&gt;=$H$9, 1, 0)</f>
        <v>1</v>
      </c>
      <c r="O11">
        <f>IF(I10&gt;=$H$9, 1, 0)</f>
        <v>1</v>
      </c>
      <c r="Q11">
        <f>IF(H10&gt;=$I$9, 1, 0)</f>
        <v>1</v>
      </c>
      <c r="R11">
        <f>IF(I10&gt;=$I$9, 1, 0)</f>
        <v>1</v>
      </c>
      <c r="S11">
        <f>IF(J10&gt;=$I$9, 1, 0)</f>
        <v>1</v>
      </c>
      <c r="U11">
        <f>IF(I10&gt;=$J$9, 1, 0)</f>
        <v>1</v>
      </c>
      <c r="V11">
        <f>IF(J10&gt;=$J$9, 1, 0)</f>
        <v>1</v>
      </c>
      <c r="W11">
        <f>IF(K10&gt;=$J$9, 1, 0)</f>
        <v>0</v>
      </c>
      <c r="Y11" s="10">
        <v>9</v>
      </c>
      <c r="Z11" s="8">
        <f t="shared" si="0"/>
        <v>0</v>
      </c>
    </row>
    <row r="12" spans="1:26" x14ac:dyDescent="0.45">
      <c r="G12" s="6">
        <v>0</v>
      </c>
      <c r="H12" s="6">
        <v>100</v>
      </c>
      <c r="I12" s="6">
        <v>100</v>
      </c>
      <c r="J12" s="6">
        <v>100</v>
      </c>
      <c r="K12" s="6">
        <v>0</v>
      </c>
      <c r="Y12" s="10">
        <v>10</v>
      </c>
      <c r="Z12" s="8">
        <f t="shared" si="0"/>
        <v>0</v>
      </c>
    </row>
    <row r="13" spans="1:26" x14ac:dyDescent="0.45">
      <c r="Y13" s="10">
        <v>11</v>
      </c>
      <c r="Z13" s="8">
        <f t="shared" si="0"/>
        <v>0</v>
      </c>
    </row>
    <row r="14" spans="1:26" x14ac:dyDescent="0.45">
      <c r="A14" s="28" t="s">
        <v>41</v>
      </c>
      <c r="Y14" s="10">
        <v>12</v>
      </c>
      <c r="Z14" s="8">
        <f t="shared" si="0"/>
        <v>0</v>
      </c>
    </row>
    <row r="15" spans="1:26" x14ac:dyDescent="0.45">
      <c r="A15" s="28"/>
      <c r="Y15" s="10">
        <v>13</v>
      </c>
      <c r="Z15" s="8">
        <f t="shared" si="0"/>
        <v>0</v>
      </c>
    </row>
    <row r="16" spans="1:26" x14ac:dyDescent="0.45">
      <c r="A16" s="28"/>
      <c r="Y16" s="10">
        <v>14</v>
      </c>
      <c r="Z16" s="8">
        <f t="shared" si="0"/>
        <v>0</v>
      </c>
    </row>
    <row r="17" spans="1:26" x14ac:dyDescent="0.45">
      <c r="A17" s="28"/>
      <c r="Y17" s="10">
        <v>15</v>
      </c>
      <c r="Z17" s="8">
        <f t="shared" si="0"/>
        <v>0</v>
      </c>
    </row>
    <row r="18" spans="1:26" x14ac:dyDescent="0.45">
      <c r="A18" s="28"/>
      <c r="Y18" s="10">
        <v>16</v>
      </c>
      <c r="Z18" s="8">
        <f t="shared" si="0"/>
        <v>0</v>
      </c>
    </row>
    <row r="19" spans="1:26" x14ac:dyDescent="0.45">
      <c r="A19" s="28"/>
      <c r="Y19" s="10">
        <v>17</v>
      </c>
      <c r="Z19" s="8">
        <f t="shared" si="0"/>
        <v>0</v>
      </c>
    </row>
    <row r="20" spans="1:26" x14ac:dyDescent="0.45">
      <c r="A20" s="28"/>
      <c r="Y20" s="10">
        <v>18</v>
      </c>
      <c r="Z20" s="8">
        <f t="shared" si="0"/>
        <v>0</v>
      </c>
    </row>
    <row r="21" spans="1:26" x14ac:dyDescent="0.45">
      <c r="A21" s="28"/>
      <c r="Y21" s="10">
        <v>19</v>
      </c>
      <c r="Z21" s="8">
        <f t="shared" si="0"/>
        <v>0</v>
      </c>
    </row>
    <row r="22" spans="1:26" x14ac:dyDescent="0.45">
      <c r="A22" s="28"/>
      <c r="Y22" s="10">
        <v>20</v>
      </c>
      <c r="Z22" s="8">
        <f t="shared" si="0"/>
        <v>0</v>
      </c>
    </row>
    <row r="23" spans="1:26" x14ac:dyDescent="0.45">
      <c r="A23" s="28"/>
      <c r="Y23" s="10">
        <v>21</v>
      </c>
      <c r="Z23" s="8">
        <f t="shared" si="0"/>
        <v>0</v>
      </c>
    </row>
    <row r="24" spans="1:26" x14ac:dyDescent="0.45">
      <c r="A24" s="28"/>
      <c r="Y24" s="10">
        <v>22</v>
      </c>
      <c r="Z24" s="8">
        <f t="shared" si="0"/>
        <v>0</v>
      </c>
    </row>
    <row r="25" spans="1:26" x14ac:dyDescent="0.45">
      <c r="A25" s="28"/>
      <c r="Y25" s="10">
        <v>23</v>
      </c>
      <c r="Z25" s="8">
        <f t="shared" si="0"/>
        <v>0</v>
      </c>
    </row>
    <row r="26" spans="1:26" x14ac:dyDescent="0.45">
      <c r="A26" s="28"/>
      <c r="Y26" s="10">
        <v>24</v>
      </c>
      <c r="Z26" s="8">
        <f t="shared" si="0"/>
        <v>0</v>
      </c>
    </row>
    <row r="27" spans="1:26" x14ac:dyDescent="0.45">
      <c r="A27" s="28"/>
      <c r="Y27" s="10">
        <v>25</v>
      </c>
      <c r="Z27" s="8">
        <f t="shared" si="0"/>
        <v>0</v>
      </c>
    </row>
    <row r="28" spans="1:26" x14ac:dyDescent="0.45">
      <c r="A28" s="28"/>
      <c r="Y28" s="10">
        <v>26</v>
      </c>
      <c r="Z28" s="8">
        <f t="shared" si="0"/>
        <v>0</v>
      </c>
    </row>
    <row r="29" spans="1:26" x14ac:dyDescent="0.45">
      <c r="Y29" s="10">
        <v>27</v>
      </c>
      <c r="Z29" s="8">
        <f t="shared" si="0"/>
        <v>0</v>
      </c>
    </row>
    <row r="30" spans="1:26" x14ac:dyDescent="0.45">
      <c r="Y30" s="10">
        <v>28</v>
      </c>
      <c r="Z30" s="8">
        <f t="shared" si="0"/>
        <v>0</v>
      </c>
    </row>
    <row r="31" spans="1:26" x14ac:dyDescent="0.45">
      <c r="Y31" s="10">
        <v>29</v>
      </c>
      <c r="Z31" s="8">
        <f t="shared" si="0"/>
        <v>0</v>
      </c>
    </row>
    <row r="32" spans="1:26" x14ac:dyDescent="0.45">
      <c r="Y32" s="10">
        <v>30</v>
      </c>
      <c r="Z32" s="8">
        <f t="shared" si="0"/>
        <v>0</v>
      </c>
    </row>
    <row r="33" spans="25:26" x14ac:dyDescent="0.45">
      <c r="Y33" s="10">
        <v>31</v>
      </c>
      <c r="Z33" s="8">
        <f t="shared" si="0"/>
        <v>0.33333333333333331</v>
      </c>
    </row>
    <row r="34" spans="25:26" x14ac:dyDescent="0.45">
      <c r="Y34" s="10">
        <v>32</v>
      </c>
      <c r="Z34" s="8">
        <f t="shared" si="0"/>
        <v>0</v>
      </c>
    </row>
    <row r="35" spans="25:26" x14ac:dyDescent="0.45">
      <c r="Y35" s="10">
        <v>33</v>
      </c>
      <c r="Z35" s="8">
        <f t="shared" si="0"/>
        <v>0</v>
      </c>
    </row>
    <row r="36" spans="25:26" x14ac:dyDescent="0.45">
      <c r="Y36" s="10">
        <v>34</v>
      </c>
      <c r="Z36" s="8">
        <f t="shared" si="0"/>
        <v>0</v>
      </c>
    </row>
    <row r="37" spans="25:26" x14ac:dyDescent="0.45">
      <c r="Y37" s="10">
        <v>35</v>
      </c>
      <c r="Z37" s="8">
        <f t="shared" si="0"/>
        <v>0</v>
      </c>
    </row>
    <row r="38" spans="25:26" x14ac:dyDescent="0.45">
      <c r="Y38" s="10">
        <v>36</v>
      </c>
      <c r="Z38" s="8">
        <f t="shared" si="0"/>
        <v>0</v>
      </c>
    </row>
    <row r="39" spans="25:26" x14ac:dyDescent="0.45">
      <c r="Y39" s="10">
        <v>37</v>
      </c>
      <c r="Z39" s="8">
        <f t="shared" si="0"/>
        <v>0</v>
      </c>
    </row>
    <row r="40" spans="25:26" x14ac:dyDescent="0.45">
      <c r="Y40" s="10">
        <v>38</v>
      </c>
      <c r="Z40" s="8">
        <f t="shared" si="0"/>
        <v>0</v>
      </c>
    </row>
    <row r="41" spans="25:26" x14ac:dyDescent="0.45">
      <c r="Y41" s="10">
        <v>39</v>
      </c>
      <c r="Z41" s="8">
        <f t="shared" si="0"/>
        <v>0</v>
      </c>
    </row>
    <row r="42" spans="25:26" x14ac:dyDescent="0.45">
      <c r="Y42" s="10">
        <v>40</v>
      </c>
      <c r="Z42" s="8">
        <f t="shared" si="0"/>
        <v>0</v>
      </c>
    </row>
    <row r="43" spans="25:26" x14ac:dyDescent="0.45">
      <c r="Y43" s="10">
        <v>41</v>
      </c>
      <c r="Z43" s="8">
        <f t="shared" si="0"/>
        <v>0</v>
      </c>
    </row>
    <row r="44" spans="25:26" x14ac:dyDescent="0.45">
      <c r="Y44" s="10">
        <v>42</v>
      </c>
      <c r="Z44" s="8">
        <f t="shared" si="0"/>
        <v>0</v>
      </c>
    </row>
    <row r="45" spans="25:26" x14ac:dyDescent="0.45">
      <c r="Y45" s="10">
        <v>43</v>
      </c>
      <c r="Z45" s="8">
        <f t="shared" si="0"/>
        <v>0</v>
      </c>
    </row>
    <row r="46" spans="25:26" x14ac:dyDescent="0.45">
      <c r="Y46" s="10">
        <v>44</v>
      </c>
      <c r="Z46" s="8">
        <f t="shared" si="0"/>
        <v>0</v>
      </c>
    </row>
    <row r="47" spans="25:26" x14ac:dyDescent="0.45">
      <c r="Y47" s="10">
        <v>45</v>
      </c>
      <c r="Z47" s="8">
        <f t="shared" si="0"/>
        <v>0</v>
      </c>
    </row>
    <row r="48" spans="25:26" x14ac:dyDescent="0.45">
      <c r="Y48" s="10">
        <v>46</v>
      </c>
      <c r="Z48" s="8">
        <f t="shared" si="0"/>
        <v>0</v>
      </c>
    </row>
    <row r="49" spans="25:26" x14ac:dyDescent="0.45">
      <c r="Y49" s="10">
        <v>47</v>
      </c>
      <c r="Z49" s="8">
        <f t="shared" si="0"/>
        <v>0</v>
      </c>
    </row>
    <row r="50" spans="25:26" x14ac:dyDescent="0.45">
      <c r="Y50" s="10">
        <v>48</v>
      </c>
      <c r="Z50" s="8">
        <f t="shared" si="0"/>
        <v>0</v>
      </c>
    </row>
    <row r="51" spans="25:26" x14ac:dyDescent="0.45">
      <c r="Y51" s="10">
        <v>49</v>
      </c>
      <c r="Z51" s="8">
        <f t="shared" si="0"/>
        <v>0</v>
      </c>
    </row>
    <row r="52" spans="25:26" x14ac:dyDescent="0.45">
      <c r="Y52" s="10">
        <v>50</v>
      </c>
      <c r="Z52" s="8">
        <f t="shared" si="0"/>
        <v>0</v>
      </c>
    </row>
    <row r="53" spans="25:26" x14ac:dyDescent="0.45">
      <c r="Y53" s="10">
        <v>51</v>
      </c>
      <c r="Z53" s="8">
        <f t="shared" si="0"/>
        <v>0</v>
      </c>
    </row>
    <row r="54" spans="25:26" x14ac:dyDescent="0.45">
      <c r="Y54" s="10">
        <v>52</v>
      </c>
      <c r="Z54" s="8">
        <f t="shared" si="0"/>
        <v>0</v>
      </c>
    </row>
    <row r="55" spans="25:26" x14ac:dyDescent="0.45">
      <c r="Y55" s="10">
        <v>53</v>
      </c>
      <c r="Z55" s="8">
        <f t="shared" si="0"/>
        <v>0</v>
      </c>
    </row>
    <row r="56" spans="25:26" x14ac:dyDescent="0.45">
      <c r="Y56" s="10">
        <v>54</v>
      </c>
      <c r="Z56" s="8">
        <f t="shared" si="0"/>
        <v>0</v>
      </c>
    </row>
    <row r="57" spans="25:26" x14ac:dyDescent="0.45">
      <c r="Y57" s="10">
        <v>55</v>
      </c>
      <c r="Z57" s="8">
        <f t="shared" si="0"/>
        <v>0</v>
      </c>
    </row>
    <row r="58" spans="25:26" x14ac:dyDescent="0.45">
      <c r="Y58" s="10">
        <v>56</v>
      </c>
      <c r="Z58" s="8">
        <f t="shared" si="0"/>
        <v>0</v>
      </c>
    </row>
    <row r="59" spans="25:26" x14ac:dyDescent="0.45">
      <c r="Y59" s="10">
        <v>57</v>
      </c>
      <c r="Z59" s="8">
        <f t="shared" si="0"/>
        <v>0</v>
      </c>
    </row>
    <row r="60" spans="25:26" x14ac:dyDescent="0.45">
      <c r="Y60" s="10">
        <v>58</v>
      </c>
      <c r="Z60" s="8">
        <f t="shared" si="0"/>
        <v>0</v>
      </c>
    </row>
    <row r="61" spans="25:26" x14ac:dyDescent="0.45">
      <c r="Y61" s="10">
        <v>59</v>
      </c>
      <c r="Z61" s="8">
        <f t="shared" si="0"/>
        <v>0</v>
      </c>
    </row>
    <row r="62" spans="25:26" x14ac:dyDescent="0.45">
      <c r="Y62" s="10">
        <v>60</v>
      </c>
      <c r="Z62" s="8">
        <f t="shared" si="0"/>
        <v>0</v>
      </c>
    </row>
    <row r="63" spans="25:26" x14ac:dyDescent="0.45">
      <c r="Y63" s="10">
        <v>61</v>
      </c>
      <c r="Z63" s="8">
        <f t="shared" si="0"/>
        <v>0</v>
      </c>
    </row>
    <row r="64" spans="25:26" x14ac:dyDescent="0.45">
      <c r="Y64" s="10">
        <v>62</v>
      </c>
      <c r="Z64" s="8">
        <f t="shared" si="0"/>
        <v>0</v>
      </c>
    </row>
    <row r="65" spans="25:26" x14ac:dyDescent="0.45">
      <c r="Y65" s="10">
        <v>63</v>
      </c>
      <c r="Z65" s="8">
        <f t="shared" si="0"/>
        <v>0</v>
      </c>
    </row>
    <row r="66" spans="25:26" x14ac:dyDescent="0.45">
      <c r="Y66" s="10">
        <v>64</v>
      </c>
      <c r="Z66" s="8">
        <f t="shared" si="0"/>
        <v>0</v>
      </c>
    </row>
    <row r="67" spans="25:26" x14ac:dyDescent="0.45">
      <c r="Y67" s="10">
        <v>65</v>
      </c>
      <c r="Z67" s="8">
        <f t="shared" ref="Z67:Z130" si="1">COUNTIF($B$8:$D$10,  $Y67) / COUNT($B$8:$D$10)</f>
        <v>0</v>
      </c>
    </row>
    <row r="68" spans="25:26" x14ac:dyDescent="0.45">
      <c r="Y68" s="10">
        <v>66</v>
      </c>
      <c r="Z68" s="8">
        <f t="shared" si="1"/>
        <v>0</v>
      </c>
    </row>
    <row r="69" spans="25:26" x14ac:dyDescent="0.45">
      <c r="Y69" s="10">
        <v>67</v>
      </c>
      <c r="Z69" s="8">
        <f t="shared" si="1"/>
        <v>0</v>
      </c>
    </row>
    <row r="70" spans="25:26" x14ac:dyDescent="0.45">
      <c r="Y70" s="10">
        <v>68</v>
      </c>
      <c r="Z70" s="8">
        <f t="shared" si="1"/>
        <v>0</v>
      </c>
    </row>
    <row r="71" spans="25:26" x14ac:dyDescent="0.45">
      <c r="Y71" s="10">
        <v>69</v>
      </c>
      <c r="Z71" s="8">
        <f t="shared" si="1"/>
        <v>0</v>
      </c>
    </row>
    <row r="72" spans="25:26" x14ac:dyDescent="0.45">
      <c r="Y72" s="10">
        <v>70</v>
      </c>
      <c r="Z72" s="8">
        <f t="shared" si="1"/>
        <v>0</v>
      </c>
    </row>
    <row r="73" spans="25:26" x14ac:dyDescent="0.45">
      <c r="Y73" s="10">
        <v>71</v>
      </c>
      <c r="Z73" s="8">
        <f t="shared" si="1"/>
        <v>0</v>
      </c>
    </row>
    <row r="74" spans="25:26" x14ac:dyDescent="0.45">
      <c r="Y74" s="10">
        <v>72</v>
      </c>
      <c r="Z74" s="8">
        <f t="shared" si="1"/>
        <v>0</v>
      </c>
    </row>
    <row r="75" spans="25:26" x14ac:dyDescent="0.45">
      <c r="Y75" s="10">
        <v>73</v>
      </c>
      <c r="Z75" s="8">
        <f t="shared" si="1"/>
        <v>0</v>
      </c>
    </row>
    <row r="76" spans="25:26" x14ac:dyDescent="0.45">
      <c r="Y76" s="10">
        <v>74</v>
      </c>
      <c r="Z76" s="8">
        <f t="shared" si="1"/>
        <v>0</v>
      </c>
    </row>
    <row r="77" spans="25:26" x14ac:dyDescent="0.45">
      <c r="Y77" s="10">
        <v>75</v>
      </c>
      <c r="Z77" s="8">
        <f t="shared" si="1"/>
        <v>0</v>
      </c>
    </row>
    <row r="78" spans="25:26" x14ac:dyDescent="0.45">
      <c r="Y78" s="10">
        <v>76</v>
      </c>
      <c r="Z78" s="8">
        <f t="shared" si="1"/>
        <v>0</v>
      </c>
    </row>
    <row r="79" spans="25:26" x14ac:dyDescent="0.45">
      <c r="Y79" s="10">
        <v>77</v>
      </c>
      <c r="Z79" s="8">
        <f t="shared" si="1"/>
        <v>0</v>
      </c>
    </row>
    <row r="80" spans="25:26" x14ac:dyDescent="0.45">
      <c r="Y80" s="10">
        <v>78</v>
      </c>
      <c r="Z80" s="8">
        <f t="shared" si="1"/>
        <v>0</v>
      </c>
    </row>
    <row r="81" spans="25:26" x14ac:dyDescent="0.45">
      <c r="Y81" s="10">
        <v>79</v>
      </c>
      <c r="Z81" s="8">
        <f t="shared" si="1"/>
        <v>0</v>
      </c>
    </row>
    <row r="82" spans="25:26" x14ac:dyDescent="0.45">
      <c r="Y82" s="10">
        <v>80</v>
      </c>
      <c r="Z82" s="8">
        <f t="shared" si="1"/>
        <v>0</v>
      </c>
    </row>
    <row r="83" spans="25:26" x14ac:dyDescent="0.45">
      <c r="Y83" s="10">
        <v>81</v>
      </c>
      <c r="Z83" s="8">
        <f t="shared" si="1"/>
        <v>0</v>
      </c>
    </row>
    <row r="84" spans="25:26" x14ac:dyDescent="0.45">
      <c r="Y84" s="10">
        <v>82</v>
      </c>
      <c r="Z84" s="8">
        <f t="shared" si="1"/>
        <v>0</v>
      </c>
    </row>
    <row r="85" spans="25:26" x14ac:dyDescent="0.45">
      <c r="Y85" s="10">
        <v>83</v>
      </c>
      <c r="Z85" s="8">
        <f t="shared" si="1"/>
        <v>0</v>
      </c>
    </row>
    <row r="86" spans="25:26" x14ac:dyDescent="0.45">
      <c r="Y86" s="10">
        <v>84</v>
      </c>
      <c r="Z86" s="8">
        <f t="shared" si="1"/>
        <v>0</v>
      </c>
    </row>
    <row r="87" spans="25:26" x14ac:dyDescent="0.45">
      <c r="Y87" s="10">
        <v>85</v>
      </c>
      <c r="Z87" s="8">
        <f t="shared" si="1"/>
        <v>0</v>
      </c>
    </row>
    <row r="88" spans="25:26" x14ac:dyDescent="0.45">
      <c r="Y88" s="10">
        <v>86</v>
      </c>
      <c r="Z88" s="8">
        <f t="shared" si="1"/>
        <v>0</v>
      </c>
    </row>
    <row r="89" spans="25:26" x14ac:dyDescent="0.45">
      <c r="Y89" s="10">
        <v>87</v>
      </c>
      <c r="Z89" s="8">
        <f t="shared" si="1"/>
        <v>0</v>
      </c>
    </row>
    <row r="90" spans="25:26" x14ac:dyDescent="0.45">
      <c r="Y90" s="10">
        <v>88</v>
      </c>
      <c r="Z90" s="8">
        <f t="shared" si="1"/>
        <v>0</v>
      </c>
    </row>
    <row r="91" spans="25:26" x14ac:dyDescent="0.45">
      <c r="Y91" s="10">
        <v>89</v>
      </c>
      <c r="Z91" s="8">
        <f t="shared" si="1"/>
        <v>0</v>
      </c>
    </row>
    <row r="92" spans="25:26" x14ac:dyDescent="0.45">
      <c r="Y92" s="10">
        <v>90</v>
      </c>
      <c r="Z92" s="8">
        <f t="shared" si="1"/>
        <v>0</v>
      </c>
    </row>
    <row r="93" spans="25:26" x14ac:dyDescent="0.45">
      <c r="Y93" s="10">
        <v>91</v>
      </c>
      <c r="Z93" s="8">
        <f t="shared" si="1"/>
        <v>0</v>
      </c>
    </row>
    <row r="94" spans="25:26" x14ac:dyDescent="0.45">
      <c r="Y94" s="10">
        <v>92</v>
      </c>
      <c r="Z94" s="8">
        <f t="shared" si="1"/>
        <v>0</v>
      </c>
    </row>
    <row r="95" spans="25:26" x14ac:dyDescent="0.45">
      <c r="Y95" s="10">
        <v>93</v>
      </c>
      <c r="Z95" s="8">
        <f t="shared" si="1"/>
        <v>0</v>
      </c>
    </row>
    <row r="96" spans="25:26" x14ac:dyDescent="0.45">
      <c r="Y96" s="10">
        <v>94</v>
      </c>
      <c r="Z96" s="8">
        <f t="shared" si="1"/>
        <v>0</v>
      </c>
    </row>
    <row r="97" spans="25:26" x14ac:dyDescent="0.45">
      <c r="Y97" s="10">
        <v>95</v>
      </c>
      <c r="Z97" s="8">
        <f t="shared" si="1"/>
        <v>0</v>
      </c>
    </row>
    <row r="98" spans="25:26" x14ac:dyDescent="0.45">
      <c r="Y98" s="10">
        <v>96</v>
      </c>
      <c r="Z98" s="8">
        <f t="shared" si="1"/>
        <v>0</v>
      </c>
    </row>
    <row r="99" spans="25:26" x14ac:dyDescent="0.45">
      <c r="Y99" s="10">
        <v>97</v>
      </c>
      <c r="Z99" s="8">
        <f t="shared" si="1"/>
        <v>0</v>
      </c>
    </row>
    <row r="100" spans="25:26" x14ac:dyDescent="0.45">
      <c r="Y100" s="10">
        <v>98</v>
      </c>
      <c r="Z100" s="8">
        <f t="shared" si="1"/>
        <v>0</v>
      </c>
    </row>
    <row r="101" spans="25:26" x14ac:dyDescent="0.45">
      <c r="Y101" s="10">
        <v>99</v>
      </c>
      <c r="Z101" s="8">
        <f t="shared" si="1"/>
        <v>0</v>
      </c>
    </row>
    <row r="102" spans="25:26" x14ac:dyDescent="0.45">
      <c r="Y102" s="10">
        <v>100</v>
      </c>
      <c r="Z102" s="8">
        <f t="shared" si="1"/>
        <v>0</v>
      </c>
    </row>
    <row r="103" spans="25:26" x14ac:dyDescent="0.45">
      <c r="Y103" s="10">
        <v>101</v>
      </c>
      <c r="Z103" s="8">
        <f t="shared" si="1"/>
        <v>0</v>
      </c>
    </row>
    <row r="104" spans="25:26" x14ac:dyDescent="0.45">
      <c r="Y104" s="10">
        <v>102</v>
      </c>
      <c r="Z104" s="8">
        <f t="shared" si="1"/>
        <v>0</v>
      </c>
    </row>
    <row r="105" spans="25:26" x14ac:dyDescent="0.45">
      <c r="Y105" s="10">
        <v>103</v>
      </c>
      <c r="Z105" s="8">
        <f t="shared" si="1"/>
        <v>0</v>
      </c>
    </row>
    <row r="106" spans="25:26" x14ac:dyDescent="0.45">
      <c r="Y106" s="10">
        <v>104</v>
      </c>
      <c r="Z106" s="8">
        <f t="shared" si="1"/>
        <v>0</v>
      </c>
    </row>
    <row r="107" spans="25:26" x14ac:dyDescent="0.45">
      <c r="Y107" s="10">
        <v>105</v>
      </c>
      <c r="Z107" s="8">
        <f t="shared" si="1"/>
        <v>0</v>
      </c>
    </row>
    <row r="108" spans="25:26" x14ac:dyDescent="0.45">
      <c r="Y108" s="10">
        <v>106</v>
      </c>
      <c r="Z108" s="8">
        <f t="shared" si="1"/>
        <v>0</v>
      </c>
    </row>
    <row r="109" spans="25:26" x14ac:dyDescent="0.45">
      <c r="Y109" s="10">
        <v>107</v>
      </c>
      <c r="Z109" s="8">
        <f t="shared" si="1"/>
        <v>0</v>
      </c>
    </row>
    <row r="110" spans="25:26" x14ac:dyDescent="0.45">
      <c r="Y110" s="10">
        <v>108</v>
      </c>
      <c r="Z110" s="8">
        <f t="shared" si="1"/>
        <v>0</v>
      </c>
    </row>
    <row r="111" spans="25:26" x14ac:dyDescent="0.45">
      <c r="Y111" s="10">
        <v>109</v>
      </c>
      <c r="Z111" s="8">
        <f t="shared" si="1"/>
        <v>0</v>
      </c>
    </row>
    <row r="112" spans="25:26" x14ac:dyDescent="0.45">
      <c r="Y112" s="10">
        <v>110</v>
      </c>
      <c r="Z112" s="8">
        <f t="shared" si="1"/>
        <v>0</v>
      </c>
    </row>
    <row r="113" spans="25:26" x14ac:dyDescent="0.45">
      <c r="Y113" s="10">
        <v>111</v>
      </c>
      <c r="Z113" s="8">
        <f t="shared" si="1"/>
        <v>0</v>
      </c>
    </row>
    <row r="114" spans="25:26" x14ac:dyDescent="0.45">
      <c r="Y114" s="10">
        <v>112</v>
      </c>
      <c r="Z114" s="8">
        <f t="shared" si="1"/>
        <v>0</v>
      </c>
    </row>
    <row r="115" spans="25:26" x14ac:dyDescent="0.45">
      <c r="Y115" s="10">
        <v>113</v>
      </c>
      <c r="Z115" s="8">
        <f t="shared" si="1"/>
        <v>0</v>
      </c>
    </row>
    <row r="116" spans="25:26" x14ac:dyDescent="0.45">
      <c r="Y116" s="10">
        <v>114</v>
      </c>
      <c r="Z116" s="8">
        <f t="shared" si="1"/>
        <v>0</v>
      </c>
    </row>
    <row r="117" spans="25:26" x14ac:dyDescent="0.45">
      <c r="Y117" s="10">
        <v>115</v>
      </c>
      <c r="Z117" s="8">
        <f t="shared" si="1"/>
        <v>0</v>
      </c>
    </row>
    <row r="118" spans="25:26" x14ac:dyDescent="0.45">
      <c r="Y118" s="10">
        <v>116</v>
      </c>
      <c r="Z118" s="8">
        <f t="shared" si="1"/>
        <v>0</v>
      </c>
    </row>
    <row r="119" spans="25:26" x14ac:dyDescent="0.45">
      <c r="Y119" s="10">
        <v>117</v>
      </c>
      <c r="Z119" s="8">
        <f t="shared" si="1"/>
        <v>0</v>
      </c>
    </row>
    <row r="120" spans="25:26" x14ac:dyDescent="0.45">
      <c r="Y120" s="10">
        <v>118</v>
      </c>
      <c r="Z120" s="8">
        <f t="shared" si="1"/>
        <v>0</v>
      </c>
    </row>
    <row r="121" spans="25:26" x14ac:dyDescent="0.45">
      <c r="Y121" s="10">
        <v>119</v>
      </c>
      <c r="Z121" s="8">
        <f t="shared" si="1"/>
        <v>0</v>
      </c>
    </row>
    <row r="122" spans="25:26" x14ac:dyDescent="0.45">
      <c r="Y122" s="10">
        <v>120</v>
      </c>
      <c r="Z122" s="8">
        <f t="shared" si="1"/>
        <v>0</v>
      </c>
    </row>
    <row r="123" spans="25:26" x14ac:dyDescent="0.45">
      <c r="Y123" s="10">
        <v>121</v>
      </c>
      <c r="Z123" s="8">
        <f t="shared" si="1"/>
        <v>0</v>
      </c>
    </row>
    <row r="124" spans="25:26" x14ac:dyDescent="0.45">
      <c r="Y124" s="10">
        <v>122</v>
      </c>
      <c r="Z124" s="8">
        <f t="shared" si="1"/>
        <v>0</v>
      </c>
    </row>
    <row r="125" spans="25:26" x14ac:dyDescent="0.45">
      <c r="Y125" s="10">
        <v>123</v>
      </c>
      <c r="Z125" s="8">
        <f t="shared" si="1"/>
        <v>0</v>
      </c>
    </row>
    <row r="126" spans="25:26" x14ac:dyDescent="0.45">
      <c r="Y126" s="10">
        <v>124</v>
      </c>
      <c r="Z126" s="8">
        <f t="shared" si="1"/>
        <v>0</v>
      </c>
    </row>
    <row r="127" spans="25:26" x14ac:dyDescent="0.45">
      <c r="Y127" s="10">
        <v>125</v>
      </c>
      <c r="Z127" s="8">
        <f t="shared" si="1"/>
        <v>0</v>
      </c>
    </row>
    <row r="128" spans="25:26" x14ac:dyDescent="0.45">
      <c r="Y128" s="10">
        <v>126</v>
      </c>
      <c r="Z128" s="8">
        <f t="shared" si="1"/>
        <v>0</v>
      </c>
    </row>
    <row r="129" spans="25:26" x14ac:dyDescent="0.45">
      <c r="Y129" s="10">
        <v>127</v>
      </c>
      <c r="Z129" s="8">
        <f t="shared" si="1"/>
        <v>0</v>
      </c>
    </row>
    <row r="130" spans="25:26" x14ac:dyDescent="0.45">
      <c r="Y130" s="10">
        <v>128</v>
      </c>
      <c r="Z130" s="8">
        <f t="shared" si="1"/>
        <v>0</v>
      </c>
    </row>
    <row r="131" spans="25:26" x14ac:dyDescent="0.45">
      <c r="Y131" s="10">
        <v>129</v>
      </c>
      <c r="Z131" s="8">
        <f t="shared" ref="Z131:Z194" si="2">COUNTIF($B$8:$D$10,  $Y131) / COUNT($B$8:$D$10)</f>
        <v>0</v>
      </c>
    </row>
    <row r="132" spans="25:26" x14ac:dyDescent="0.45">
      <c r="Y132" s="10">
        <v>130</v>
      </c>
      <c r="Z132" s="8">
        <f t="shared" si="2"/>
        <v>0</v>
      </c>
    </row>
    <row r="133" spans="25:26" x14ac:dyDescent="0.45">
      <c r="Y133" s="10">
        <v>131</v>
      </c>
      <c r="Z133" s="8">
        <f t="shared" si="2"/>
        <v>0</v>
      </c>
    </row>
    <row r="134" spans="25:26" x14ac:dyDescent="0.45">
      <c r="Y134" s="10">
        <v>132</v>
      </c>
      <c r="Z134" s="8">
        <f t="shared" si="2"/>
        <v>0</v>
      </c>
    </row>
    <row r="135" spans="25:26" x14ac:dyDescent="0.45">
      <c r="Y135" s="10">
        <v>133</v>
      </c>
      <c r="Z135" s="8">
        <f t="shared" si="2"/>
        <v>0</v>
      </c>
    </row>
    <row r="136" spans="25:26" x14ac:dyDescent="0.45">
      <c r="Y136" s="10">
        <v>134</v>
      </c>
      <c r="Z136" s="8">
        <f t="shared" si="2"/>
        <v>0</v>
      </c>
    </row>
    <row r="137" spans="25:26" x14ac:dyDescent="0.45">
      <c r="Y137" s="10">
        <v>135</v>
      </c>
      <c r="Z137" s="8">
        <f t="shared" si="2"/>
        <v>0</v>
      </c>
    </row>
    <row r="138" spans="25:26" x14ac:dyDescent="0.45">
      <c r="Y138" s="10">
        <v>136</v>
      </c>
      <c r="Z138" s="8">
        <f t="shared" si="2"/>
        <v>0</v>
      </c>
    </row>
    <row r="139" spans="25:26" x14ac:dyDescent="0.45">
      <c r="Y139" s="10">
        <v>137</v>
      </c>
      <c r="Z139" s="8">
        <f t="shared" si="2"/>
        <v>0</v>
      </c>
    </row>
    <row r="140" spans="25:26" x14ac:dyDescent="0.45">
      <c r="Y140" s="10">
        <v>138</v>
      </c>
      <c r="Z140" s="8">
        <f t="shared" si="2"/>
        <v>0</v>
      </c>
    </row>
    <row r="141" spans="25:26" x14ac:dyDescent="0.45">
      <c r="Y141" s="10">
        <v>139</v>
      </c>
      <c r="Z141" s="8">
        <f t="shared" si="2"/>
        <v>0</v>
      </c>
    </row>
    <row r="142" spans="25:26" x14ac:dyDescent="0.45">
      <c r="Y142" s="10">
        <v>140</v>
      </c>
      <c r="Z142" s="8">
        <f t="shared" si="2"/>
        <v>0</v>
      </c>
    </row>
    <row r="143" spans="25:26" x14ac:dyDescent="0.45">
      <c r="Y143" s="10">
        <v>141</v>
      </c>
      <c r="Z143" s="8">
        <f t="shared" si="2"/>
        <v>0</v>
      </c>
    </row>
    <row r="144" spans="25:26" x14ac:dyDescent="0.45">
      <c r="Y144" s="10">
        <v>142</v>
      </c>
      <c r="Z144" s="8">
        <f t="shared" si="2"/>
        <v>0</v>
      </c>
    </row>
    <row r="145" spans="25:26" x14ac:dyDescent="0.45">
      <c r="Y145" s="10">
        <v>143</v>
      </c>
      <c r="Z145" s="8">
        <f t="shared" si="2"/>
        <v>0</v>
      </c>
    </row>
    <row r="146" spans="25:26" x14ac:dyDescent="0.45">
      <c r="Y146" s="10">
        <v>144</v>
      </c>
      <c r="Z146" s="8">
        <f t="shared" si="2"/>
        <v>0</v>
      </c>
    </row>
    <row r="147" spans="25:26" x14ac:dyDescent="0.45">
      <c r="Y147" s="10">
        <v>145</v>
      </c>
      <c r="Z147" s="8">
        <f t="shared" si="2"/>
        <v>0</v>
      </c>
    </row>
    <row r="148" spans="25:26" x14ac:dyDescent="0.45">
      <c r="Y148" s="10">
        <v>146</v>
      </c>
      <c r="Z148" s="8">
        <f t="shared" si="2"/>
        <v>0</v>
      </c>
    </row>
    <row r="149" spans="25:26" x14ac:dyDescent="0.45">
      <c r="Y149" s="10">
        <v>147</v>
      </c>
      <c r="Z149" s="8">
        <f t="shared" si="2"/>
        <v>0</v>
      </c>
    </row>
    <row r="150" spans="25:26" x14ac:dyDescent="0.45">
      <c r="Y150" s="10">
        <v>148</v>
      </c>
      <c r="Z150" s="8">
        <f t="shared" si="2"/>
        <v>0</v>
      </c>
    </row>
    <row r="151" spans="25:26" x14ac:dyDescent="0.45">
      <c r="Y151" s="10">
        <v>149</v>
      </c>
      <c r="Z151" s="8">
        <f t="shared" si="2"/>
        <v>0</v>
      </c>
    </row>
    <row r="152" spans="25:26" x14ac:dyDescent="0.45">
      <c r="Y152" s="10">
        <v>150</v>
      </c>
      <c r="Z152" s="8">
        <f t="shared" si="2"/>
        <v>0</v>
      </c>
    </row>
    <row r="153" spans="25:26" x14ac:dyDescent="0.45">
      <c r="Y153" s="10">
        <v>151</v>
      </c>
      <c r="Z153" s="8">
        <f t="shared" si="2"/>
        <v>0</v>
      </c>
    </row>
    <row r="154" spans="25:26" x14ac:dyDescent="0.45">
      <c r="Y154" s="10">
        <v>152</v>
      </c>
      <c r="Z154" s="8">
        <f t="shared" si="2"/>
        <v>0</v>
      </c>
    </row>
    <row r="155" spans="25:26" x14ac:dyDescent="0.45">
      <c r="Y155" s="10">
        <v>153</v>
      </c>
      <c r="Z155" s="8">
        <f t="shared" si="2"/>
        <v>0</v>
      </c>
    </row>
    <row r="156" spans="25:26" x14ac:dyDescent="0.45">
      <c r="Y156" s="10">
        <v>154</v>
      </c>
      <c r="Z156" s="8">
        <f t="shared" si="2"/>
        <v>0</v>
      </c>
    </row>
    <row r="157" spans="25:26" x14ac:dyDescent="0.45">
      <c r="Y157" s="10">
        <v>155</v>
      </c>
      <c r="Z157" s="8">
        <f t="shared" si="2"/>
        <v>0</v>
      </c>
    </row>
    <row r="158" spans="25:26" x14ac:dyDescent="0.45">
      <c r="Y158" s="10">
        <v>156</v>
      </c>
      <c r="Z158" s="8">
        <f t="shared" si="2"/>
        <v>0</v>
      </c>
    </row>
    <row r="159" spans="25:26" x14ac:dyDescent="0.45">
      <c r="Y159" s="10">
        <v>157</v>
      </c>
      <c r="Z159" s="8">
        <f t="shared" si="2"/>
        <v>0</v>
      </c>
    </row>
    <row r="160" spans="25:26" x14ac:dyDescent="0.45">
      <c r="Y160" s="10">
        <v>158</v>
      </c>
      <c r="Z160" s="8">
        <f t="shared" si="2"/>
        <v>0</v>
      </c>
    </row>
    <row r="161" spans="25:26" x14ac:dyDescent="0.45">
      <c r="Y161" s="10">
        <v>159</v>
      </c>
      <c r="Z161" s="8">
        <f t="shared" si="2"/>
        <v>0</v>
      </c>
    </row>
    <row r="162" spans="25:26" x14ac:dyDescent="0.45">
      <c r="Y162" s="10">
        <v>160</v>
      </c>
      <c r="Z162" s="8">
        <f t="shared" si="2"/>
        <v>0</v>
      </c>
    </row>
    <row r="163" spans="25:26" x14ac:dyDescent="0.45">
      <c r="Y163" s="10">
        <v>161</v>
      </c>
      <c r="Z163" s="8">
        <f t="shared" si="2"/>
        <v>0</v>
      </c>
    </row>
    <row r="164" spans="25:26" x14ac:dyDescent="0.45">
      <c r="Y164" s="10">
        <v>162</v>
      </c>
      <c r="Z164" s="8">
        <f t="shared" si="2"/>
        <v>0</v>
      </c>
    </row>
    <row r="165" spans="25:26" x14ac:dyDescent="0.45">
      <c r="Y165" s="10">
        <v>163</v>
      </c>
      <c r="Z165" s="8">
        <f t="shared" si="2"/>
        <v>0</v>
      </c>
    </row>
    <row r="166" spans="25:26" x14ac:dyDescent="0.45">
      <c r="Y166" s="10">
        <v>164</v>
      </c>
      <c r="Z166" s="8">
        <f t="shared" si="2"/>
        <v>0</v>
      </c>
    </row>
    <row r="167" spans="25:26" x14ac:dyDescent="0.45">
      <c r="Y167" s="10">
        <v>165</v>
      </c>
      <c r="Z167" s="8">
        <f t="shared" si="2"/>
        <v>0</v>
      </c>
    </row>
    <row r="168" spans="25:26" x14ac:dyDescent="0.45">
      <c r="Y168" s="10">
        <v>166</v>
      </c>
      <c r="Z168" s="8">
        <f t="shared" si="2"/>
        <v>0</v>
      </c>
    </row>
    <row r="169" spans="25:26" x14ac:dyDescent="0.45">
      <c r="Y169" s="10">
        <v>167</v>
      </c>
      <c r="Z169" s="8">
        <f t="shared" si="2"/>
        <v>0</v>
      </c>
    </row>
    <row r="170" spans="25:26" x14ac:dyDescent="0.45">
      <c r="Y170" s="10">
        <v>168</v>
      </c>
      <c r="Z170" s="8">
        <f t="shared" si="2"/>
        <v>0</v>
      </c>
    </row>
    <row r="171" spans="25:26" x14ac:dyDescent="0.45">
      <c r="Y171" s="10">
        <v>169</v>
      </c>
      <c r="Z171" s="8">
        <f t="shared" si="2"/>
        <v>0</v>
      </c>
    </row>
    <row r="172" spans="25:26" x14ac:dyDescent="0.45">
      <c r="Y172" s="10">
        <v>170</v>
      </c>
      <c r="Z172" s="8">
        <f t="shared" si="2"/>
        <v>0</v>
      </c>
    </row>
    <row r="173" spans="25:26" x14ac:dyDescent="0.45">
      <c r="Y173" s="10">
        <v>171</v>
      </c>
      <c r="Z173" s="8">
        <f t="shared" si="2"/>
        <v>0</v>
      </c>
    </row>
    <row r="174" spans="25:26" x14ac:dyDescent="0.45">
      <c r="Y174" s="10">
        <v>172</v>
      </c>
      <c r="Z174" s="8">
        <f t="shared" si="2"/>
        <v>0</v>
      </c>
    </row>
    <row r="175" spans="25:26" x14ac:dyDescent="0.45">
      <c r="Y175" s="10">
        <v>173</v>
      </c>
      <c r="Z175" s="8">
        <f t="shared" si="2"/>
        <v>0</v>
      </c>
    </row>
    <row r="176" spans="25:26" x14ac:dyDescent="0.45">
      <c r="Y176" s="10">
        <v>174</v>
      </c>
      <c r="Z176" s="8">
        <f t="shared" si="2"/>
        <v>0</v>
      </c>
    </row>
    <row r="177" spans="25:26" x14ac:dyDescent="0.45">
      <c r="Y177" s="10">
        <v>175</v>
      </c>
      <c r="Z177" s="8">
        <f t="shared" si="2"/>
        <v>0</v>
      </c>
    </row>
    <row r="178" spans="25:26" x14ac:dyDescent="0.45">
      <c r="Y178" s="10">
        <v>176</v>
      </c>
      <c r="Z178" s="8">
        <f t="shared" si="2"/>
        <v>0</v>
      </c>
    </row>
    <row r="179" spans="25:26" x14ac:dyDescent="0.45">
      <c r="Y179" s="10">
        <v>177</v>
      </c>
      <c r="Z179" s="8">
        <f t="shared" si="2"/>
        <v>0</v>
      </c>
    </row>
    <row r="180" spans="25:26" x14ac:dyDescent="0.45">
      <c r="Y180" s="10">
        <v>178</v>
      </c>
      <c r="Z180" s="8">
        <f t="shared" si="2"/>
        <v>0</v>
      </c>
    </row>
    <row r="181" spans="25:26" x14ac:dyDescent="0.45">
      <c r="Y181" s="10">
        <v>179</v>
      </c>
      <c r="Z181" s="8">
        <f t="shared" si="2"/>
        <v>0</v>
      </c>
    </row>
    <row r="182" spans="25:26" x14ac:dyDescent="0.45">
      <c r="Y182" s="10">
        <v>180</v>
      </c>
      <c r="Z182" s="8">
        <f t="shared" si="2"/>
        <v>0</v>
      </c>
    </row>
    <row r="183" spans="25:26" x14ac:dyDescent="0.45">
      <c r="Y183" s="10">
        <v>181</v>
      </c>
      <c r="Z183" s="8">
        <f t="shared" si="2"/>
        <v>0</v>
      </c>
    </row>
    <row r="184" spans="25:26" x14ac:dyDescent="0.45">
      <c r="Y184" s="10">
        <v>182</v>
      </c>
      <c r="Z184" s="8">
        <f t="shared" si="2"/>
        <v>0</v>
      </c>
    </row>
    <row r="185" spans="25:26" x14ac:dyDescent="0.45">
      <c r="Y185" s="10">
        <v>183</v>
      </c>
      <c r="Z185" s="8">
        <f t="shared" si="2"/>
        <v>0</v>
      </c>
    </row>
    <row r="186" spans="25:26" x14ac:dyDescent="0.45">
      <c r="Y186" s="10">
        <v>184</v>
      </c>
      <c r="Z186" s="8">
        <f t="shared" si="2"/>
        <v>0</v>
      </c>
    </row>
    <row r="187" spans="25:26" x14ac:dyDescent="0.45">
      <c r="Y187" s="10">
        <v>185</v>
      </c>
      <c r="Z187" s="8">
        <f t="shared" si="2"/>
        <v>0</v>
      </c>
    </row>
    <row r="188" spans="25:26" x14ac:dyDescent="0.45">
      <c r="Y188" s="10">
        <v>186</v>
      </c>
      <c r="Z188" s="8">
        <f t="shared" si="2"/>
        <v>0</v>
      </c>
    </row>
    <row r="189" spans="25:26" x14ac:dyDescent="0.45">
      <c r="Y189" s="10">
        <v>187</v>
      </c>
      <c r="Z189" s="8">
        <f t="shared" si="2"/>
        <v>0</v>
      </c>
    </row>
    <row r="190" spans="25:26" x14ac:dyDescent="0.45">
      <c r="Y190" s="10">
        <v>188</v>
      </c>
      <c r="Z190" s="8">
        <f t="shared" si="2"/>
        <v>0</v>
      </c>
    </row>
    <row r="191" spans="25:26" x14ac:dyDescent="0.45">
      <c r="Y191" s="10">
        <v>189</v>
      </c>
      <c r="Z191" s="8">
        <f t="shared" si="2"/>
        <v>0</v>
      </c>
    </row>
    <row r="192" spans="25:26" x14ac:dyDescent="0.45">
      <c r="Y192" s="10">
        <v>190</v>
      </c>
      <c r="Z192" s="8">
        <f t="shared" si="2"/>
        <v>0</v>
      </c>
    </row>
    <row r="193" spans="25:26" x14ac:dyDescent="0.45">
      <c r="Y193" s="10">
        <v>191</v>
      </c>
      <c r="Z193" s="8">
        <f t="shared" si="2"/>
        <v>0</v>
      </c>
    </row>
    <row r="194" spans="25:26" x14ac:dyDescent="0.45">
      <c r="Y194" s="10">
        <v>192</v>
      </c>
      <c r="Z194" s="8">
        <f t="shared" si="2"/>
        <v>0</v>
      </c>
    </row>
    <row r="195" spans="25:26" x14ac:dyDescent="0.45">
      <c r="Y195" s="10">
        <v>193</v>
      </c>
      <c r="Z195" s="8">
        <f t="shared" ref="Z195:Z257" si="3">COUNTIF($B$8:$D$10,  $Y195) / COUNT($B$8:$D$10)</f>
        <v>0</v>
      </c>
    </row>
    <row r="196" spans="25:26" x14ac:dyDescent="0.45">
      <c r="Y196" s="10">
        <v>194</v>
      </c>
      <c r="Z196" s="8">
        <f t="shared" si="3"/>
        <v>0</v>
      </c>
    </row>
    <row r="197" spans="25:26" x14ac:dyDescent="0.45">
      <c r="Y197" s="10">
        <v>195</v>
      </c>
      <c r="Z197" s="8">
        <f t="shared" si="3"/>
        <v>0</v>
      </c>
    </row>
    <row r="198" spans="25:26" x14ac:dyDescent="0.45">
      <c r="Y198" s="10">
        <v>196</v>
      </c>
      <c r="Z198" s="8">
        <f t="shared" si="3"/>
        <v>0</v>
      </c>
    </row>
    <row r="199" spans="25:26" x14ac:dyDescent="0.45">
      <c r="Y199" s="10">
        <v>197</v>
      </c>
      <c r="Z199" s="8">
        <f t="shared" si="3"/>
        <v>0</v>
      </c>
    </row>
    <row r="200" spans="25:26" x14ac:dyDescent="0.45">
      <c r="Y200" s="10">
        <v>198</v>
      </c>
      <c r="Z200" s="8">
        <f t="shared" si="3"/>
        <v>0</v>
      </c>
    </row>
    <row r="201" spans="25:26" x14ac:dyDescent="0.45">
      <c r="Y201" s="10">
        <v>199</v>
      </c>
      <c r="Z201" s="8">
        <f t="shared" si="3"/>
        <v>0</v>
      </c>
    </row>
    <row r="202" spans="25:26" x14ac:dyDescent="0.45">
      <c r="Y202" s="10">
        <v>200</v>
      </c>
      <c r="Z202" s="8">
        <f t="shared" si="3"/>
        <v>0</v>
      </c>
    </row>
    <row r="203" spans="25:26" x14ac:dyDescent="0.45">
      <c r="Y203" s="10">
        <v>201</v>
      </c>
      <c r="Z203" s="8">
        <f t="shared" si="3"/>
        <v>0</v>
      </c>
    </row>
    <row r="204" spans="25:26" x14ac:dyDescent="0.45">
      <c r="Y204" s="10">
        <v>202</v>
      </c>
      <c r="Z204" s="8">
        <f t="shared" si="3"/>
        <v>0</v>
      </c>
    </row>
    <row r="205" spans="25:26" x14ac:dyDescent="0.45">
      <c r="Y205" s="10">
        <v>203</v>
      </c>
      <c r="Z205" s="8">
        <f t="shared" si="3"/>
        <v>0</v>
      </c>
    </row>
    <row r="206" spans="25:26" x14ac:dyDescent="0.45">
      <c r="Y206" s="10">
        <v>204</v>
      </c>
      <c r="Z206" s="8">
        <f t="shared" si="3"/>
        <v>0</v>
      </c>
    </row>
    <row r="207" spans="25:26" x14ac:dyDescent="0.45">
      <c r="Y207" s="10">
        <v>205</v>
      </c>
      <c r="Z207" s="8">
        <f t="shared" si="3"/>
        <v>0</v>
      </c>
    </row>
    <row r="208" spans="25:26" x14ac:dyDescent="0.45">
      <c r="Y208" s="10">
        <v>206</v>
      </c>
      <c r="Z208" s="8">
        <f t="shared" si="3"/>
        <v>0</v>
      </c>
    </row>
    <row r="209" spans="25:26" x14ac:dyDescent="0.45">
      <c r="Y209" s="10">
        <v>207</v>
      </c>
      <c r="Z209" s="8">
        <f t="shared" si="3"/>
        <v>0</v>
      </c>
    </row>
    <row r="210" spans="25:26" x14ac:dyDescent="0.45">
      <c r="Y210" s="10">
        <v>208</v>
      </c>
      <c r="Z210" s="8">
        <f t="shared" si="3"/>
        <v>0</v>
      </c>
    </row>
    <row r="211" spans="25:26" x14ac:dyDescent="0.45">
      <c r="Y211" s="10">
        <v>209</v>
      </c>
      <c r="Z211" s="8">
        <f t="shared" si="3"/>
        <v>0</v>
      </c>
    </row>
    <row r="212" spans="25:26" x14ac:dyDescent="0.45">
      <c r="Y212" s="10">
        <v>210</v>
      </c>
      <c r="Z212" s="8">
        <f t="shared" si="3"/>
        <v>0</v>
      </c>
    </row>
    <row r="213" spans="25:26" x14ac:dyDescent="0.45">
      <c r="Y213" s="10">
        <v>211</v>
      </c>
      <c r="Z213" s="8">
        <f t="shared" si="3"/>
        <v>0</v>
      </c>
    </row>
    <row r="214" spans="25:26" x14ac:dyDescent="0.45">
      <c r="Y214" s="10">
        <v>212</v>
      </c>
      <c r="Z214" s="8">
        <f t="shared" si="3"/>
        <v>0</v>
      </c>
    </row>
    <row r="215" spans="25:26" x14ac:dyDescent="0.45">
      <c r="Y215" s="10">
        <v>213</v>
      </c>
      <c r="Z215" s="8">
        <f t="shared" si="3"/>
        <v>0</v>
      </c>
    </row>
    <row r="216" spans="25:26" x14ac:dyDescent="0.45">
      <c r="Y216" s="10">
        <v>214</v>
      </c>
      <c r="Z216" s="8">
        <f t="shared" si="3"/>
        <v>0</v>
      </c>
    </row>
    <row r="217" spans="25:26" x14ac:dyDescent="0.45">
      <c r="Y217" s="10">
        <v>215</v>
      </c>
      <c r="Z217" s="8">
        <f t="shared" si="3"/>
        <v>0</v>
      </c>
    </row>
    <row r="218" spans="25:26" x14ac:dyDescent="0.45">
      <c r="Y218" s="10">
        <v>216</v>
      </c>
      <c r="Z218" s="8">
        <f t="shared" si="3"/>
        <v>0</v>
      </c>
    </row>
    <row r="219" spans="25:26" x14ac:dyDescent="0.45">
      <c r="Y219" s="10">
        <v>217</v>
      </c>
      <c r="Z219" s="8">
        <f t="shared" si="3"/>
        <v>0</v>
      </c>
    </row>
    <row r="220" spans="25:26" x14ac:dyDescent="0.45">
      <c r="Y220" s="10">
        <v>218</v>
      </c>
      <c r="Z220" s="8">
        <f t="shared" si="3"/>
        <v>0</v>
      </c>
    </row>
    <row r="221" spans="25:26" x14ac:dyDescent="0.45">
      <c r="Y221" s="10">
        <v>219</v>
      </c>
      <c r="Z221" s="8">
        <f t="shared" si="3"/>
        <v>0</v>
      </c>
    </row>
    <row r="222" spans="25:26" x14ac:dyDescent="0.45">
      <c r="Y222" s="10">
        <v>220</v>
      </c>
      <c r="Z222" s="8">
        <f t="shared" si="3"/>
        <v>0</v>
      </c>
    </row>
    <row r="223" spans="25:26" x14ac:dyDescent="0.45">
      <c r="Y223" s="10">
        <v>221</v>
      </c>
      <c r="Z223" s="8">
        <f t="shared" si="3"/>
        <v>0</v>
      </c>
    </row>
    <row r="224" spans="25:26" x14ac:dyDescent="0.45">
      <c r="Y224" s="10">
        <v>222</v>
      </c>
      <c r="Z224" s="8">
        <f t="shared" si="3"/>
        <v>0</v>
      </c>
    </row>
    <row r="225" spans="25:26" x14ac:dyDescent="0.45">
      <c r="Y225" s="10">
        <v>223</v>
      </c>
      <c r="Z225" s="8">
        <f t="shared" si="3"/>
        <v>0</v>
      </c>
    </row>
    <row r="226" spans="25:26" x14ac:dyDescent="0.45">
      <c r="Y226" s="10">
        <v>224</v>
      </c>
      <c r="Z226" s="8">
        <f t="shared" si="3"/>
        <v>0</v>
      </c>
    </row>
    <row r="227" spans="25:26" x14ac:dyDescent="0.45">
      <c r="Y227" s="10">
        <v>225</v>
      </c>
      <c r="Z227" s="8">
        <f t="shared" si="3"/>
        <v>0</v>
      </c>
    </row>
    <row r="228" spans="25:26" x14ac:dyDescent="0.45">
      <c r="Y228" s="10">
        <v>226</v>
      </c>
      <c r="Z228" s="8">
        <f t="shared" si="3"/>
        <v>0</v>
      </c>
    </row>
    <row r="229" spans="25:26" x14ac:dyDescent="0.45">
      <c r="Y229" s="10">
        <v>227</v>
      </c>
      <c r="Z229" s="8">
        <f t="shared" si="3"/>
        <v>0</v>
      </c>
    </row>
    <row r="230" spans="25:26" x14ac:dyDescent="0.45">
      <c r="Y230" s="10">
        <v>228</v>
      </c>
      <c r="Z230" s="8">
        <f t="shared" si="3"/>
        <v>0</v>
      </c>
    </row>
    <row r="231" spans="25:26" x14ac:dyDescent="0.45">
      <c r="Y231" s="10">
        <v>229</v>
      </c>
      <c r="Z231" s="8">
        <f t="shared" si="3"/>
        <v>0</v>
      </c>
    </row>
    <row r="232" spans="25:26" x14ac:dyDescent="0.45">
      <c r="Y232" s="10">
        <v>230</v>
      </c>
      <c r="Z232" s="8">
        <f t="shared" si="3"/>
        <v>0</v>
      </c>
    </row>
    <row r="233" spans="25:26" x14ac:dyDescent="0.45">
      <c r="Y233" s="10">
        <v>231</v>
      </c>
      <c r="Z233" s="8">
        <f t="shared" si="3"/>
        <v>0</v>
      </c>
    </row>
    <row r="234" spans="25:26" x14ac:dyDescent="0.45">
      <c r="Y234" s="10">
        <v>232</v>
      </c>
      <c r="Z234" s="8">
        <f t="shared" si="3"/>
        <v>0</v>
      </c>
    </row>
    <row r="235" spans="25:26" x14ac:dyDescent="0.45">
      <c r="Y235" s="10">
        <v>233</v>
      </c>
      <c r="Z235" s="8">
        <f t="shared" si="3"/>
        <v>0</v>
      </c>
    </row>
    <row r="236" spans="25:26" x14ac:dyDescent="0.45">
      <c r="Y236" s="10">
        <v>234</v>
      </c>
      <c r="Z236" s="8">
        <f t="shared" si="3"/>
        <v>0</v>
      </c>
    </row>
    <row r="237" spans="25:26" x14ac:dyDescent="0.45">
      <c r="Y237" s="10">
        <v>235</v>
      </c>
      <c r="Z237" s="8">
        <f t="shared" si="3"/>
        <v>0</v>
      </c>
    </row>
    <row r="238" spans="25:26" x14ac:dyDescent="0.45">
      <c r="Y238" s="10">
        <v>236</v>
      </c>
      <c r="Z238" s="8">
        <f t="shared" si="3"/>
        <v>0</v>
      </c>
    </row>
    <row r="239" spans="25:26" x14ac:dyDescent="0.45">
      <c r="Y239" s="10">
        <v>237</v>
      </c>
      <c r="Z239" s="8">
        <f t="shared" si="3"/>
        <v>0</v>
      </c>
    </row>
    <row r="240" spans="25:26" x14ac:dyDescent="0.45">
      <c r="Y240" s="10">
        <v>238</v>
      </c>
      <c r="Z240" s="8">
        <f t="shared" si="3"/>
        <v>0</v>
      </c>
    </row>
    <row r="241" spans="25:26" x14ac:dyDescent="0.45">
      <c r="Y241" s="10">
        <v>239</v>
      </c>
      <c r="Z241" s="8">
        <f t="shared" si="3"/>
        <v>0</v>
      </c>
    </row>
    <row r="242" spans="25:26" x14ac:dyDescent="0.45">
      <c r="Y242" s="10">
        <v>240</v>
      </c>
      <c r="Z242" s="8">
        <f t="shared" si="3"/>
        <v>0</v>
      </c>
    </row>
    <row r="243" spans="25:26" x14ac:dyDescent="0.45">
      <c r="Y243" s="10">
        <v>241</v>
      </c>
      <c r="Z243" s="8">
        <f t="shared" si="3"/>
        <v>0.33333333333333331</v>
      </c>
    </row>
    <row r="244" spans="25:26" x14ac:dyDescent="0.45">
      <c r="Y244" s="10">
        <v>242</v>
      </c>
      <c r="Z244" s="8">
        <f t="shared" si="3"/>
        <v>0</v>
      </c>
    </row>
    <row r="245" spans="25:26" x14ac:dyDescent="0.45">
      <c r="Y245" s="10">
        <v>243</v>
      </c>
      <c r="Z245" s="8">
        <f t="shared" si="3"/>
        <v>0</v>
      </c>
    </row>
    <row r="246" spans="25:26" x14ac:dyDescent="0.45">
      <c r="Y246" s="10">
        <v>244</v>
      </c>
      <c r="Z246" s="8">
        <f t="shared" si="3"/>
        <v>0</v>
      </c>
    </row>
    <row r="247" spans="25:26" x14ac:dyDescent="0.45">
      <c r="Y247" s="10">
        <v>245</v>
      </c>
      <c r="Z247" s="8">
        <f t="shared" si="3"/>
        <v>0</v>
      </c>
    </row>
    <row r="248" spans="25:26" x14ac:dyDescent="0.45">
      <c r="Y248" s="10">
        <v>246</v>
      </c>
      <c r="Z248" s="8">
        <f t="shared" si="3"/>
        <v>0</v>
      </c>
    </row>
    <row r="249" spans="25:26" x14ac:dyDescent="0.45">
      <c r="Y249" s="10">
        <v>247</v>
      </c>
      <c r="Z249" s="8">
        <f t="shared" si="3"/>
        <v>0</v>
      </c>
    </row>
    <row r="250" spans="25:26" x14ac:dyDescent="0.45">
      <c r="Y250" s="10">
        <v>248</v>
      </c>
      <c r="Z250" s="8">
        <f t="shared" si="3"/>
        <v>0</v>
      </c>
    </row>
    <row r="251" spans="25:26" x14ac:dyDescent="0.45">
      <c r="Y251" s="10">
        <v>249</v>
      </c>
      <c r="Z251" s="8">
        <f t="shared" si="3"/>
        <v>0</v>
      </c>
    </row>
    <row r="252" spans="25:26" x14ac:dyDescent="0.45">
      <c r="Y252" s="10">
        <v>250</v>
      </c>
      <c r="Z252" s="8">
        <f t="shared" si="3"/>
        <v>0</v>
      </c>
    </row>
    <row r="253" spans="25:26" x14ac:dyDescent="0.45">
      <c r="Y253" s="10">
        <v>251</v>
      </c>
      <c r="Z253" s="8">
        <f t="shared" si="3"/>
        <v>0</v>
      </c>
    </row>
    <row r="254" spans="25:26" x14ac:dyDescent="0.45">
      <c r="Y254" s="10">
        <v>252</v>
      </c>
      <c r="Z254" s="8">
        <f t="shared" si="3"/>
        <v>0</v>
      </c>
    </row>
    <row r="255" spans="25:26" x14ac:dyDescent="0.45">
      <c r="Y255" s="10">
        <v>253</v>
      </c>
      <c r="Z255" s="8">
        <f t="shared" si="3"/>
        <v>0</v>
      </c>
    </row>
    <row r="256" spans="25:26" x14ac:dyDescent="0.45">
      <c r="Y256" s="10">
        <v>254</v>
      </c>
      <c r="Z256" s="8">
        <f t="shared" si="3"/>
        <v>0</v>
      </c>
    </row>
    <row r="257" spans="25:26" x14ac:dyDescent="0.45">
      <c r="Y257" s="10">
        <v>255</v>
      </c>
      <c r="Z257" s="8">
        <f t="shared" si="3"/>
        <v>0.33333333333333331</v>
      </c>
    </row>
  </sheetData>
  <mergeCells count="8">
    <mergeCell ref="G7:K7"/>
    <mergeCell ref="B7:D7"/>
    <mergeCell ref="A7:A10"/>
    <mergeCell ref="A14:A28"/>
    <mergeCell ref="B1:K1"/>
    <mergeCell ref="B2:K2"/>
    <mergeCell ref="B4:K4"/>
    <mergeCell ref="B5:K5"/>
  </mergeCells>
  <conditionalFormatting sqref="G8:K12">
    <cfRule type="expression" dxfId="1" priority="5">
      <formula>G8&gt;MEDIAN($G$8:$K$12)</formula>
    </cfRule>
    <cfRule type="colorScale" priority="6">
      <colorScale>
        <cfvo type="num" val="0"/>
        <cfvo type="percentile" val="50"/>
        <cfvo type="num" val="255"/>
        <color theme="1"/>
        <color theme="1" tint="0.499984740745262"/>
        <color theme="0"/>
      </colorScale>
    </cfRule>
  </conditionalFormatting>
  <conditionalFormatting sqref="B8:D10">
    <cfRule type="expression" dxfId="0" priority="1">
      <formula>B8&gt;MEDIAN($B$8:$D$10)</formula>
    </cfRule>
    <cfRule type="colorScale" priority="2">
      <colorScale>
        <cfvo type="num" val="0"/>
        <cfvo type="percentile" val="50"/>
        <cfvo type="num" val="255"/>
        <color theme="1"/>
        <color theme="1" tint="0.499984740745262"/>
        <color theme="0"/>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57906-B27E-4339-B099-E30B3218684A}">
  <sheetPr codeName="Hoja4"/>
  <dimension ref="A1:AD258"/>
  <sheetViews>
    <sheetView tabSelected="1" zoomScale="115" zoomScaleNormal="115" workbookViewId="0">
      <selection activeCell="AB2" sqref="AB2"/>
    </sheetView>
  </sheetViews>
  <sheetFormatPr baseColWidth="10" defaultRowHeight="14.25" x14ac:dyDescent="0.45"/>
  <cols>
    <col min="1" max="1" width="4.59765625" customWidth="1"/>
    <col min="2" max="10" width="3.59765625" customWidth="1"/>
    <col min="12" max="20" width="10.59765625" style="25" customWidth="1"/>
    <col min="27" max="27" width="5.9296875" style="25" bestFit="1" customWidth="1"/>
    <col min="28" max="28" width="6.59765625" style="25" bestFit="1" customWidth="1"/>
    <col min="29" max="29" width="6.46484375" style="25" bestFit="1" customWidth="1"/>
    <col min="30" max="30" width="6.265625" style="25" bestFit="1" customWidth="1"/>
  </cols>
  <sheetData>
    <row r="1" spans="1:30" x14ac:dyDescent="0.45">
      <c r="B1" s="27" t="s">
        <v>56</v>
      </c>
      <c r="C1" s="27"/>
      <c r="D1" s="27"/>
      <c r="E1" s="27"/>
      <c r="F1" s="27"/>
      <c r="G1" s="27"/>
      <c r="H1" s="27"/>
      <c r="I1" s="27"/>
      <c r="J1" s="27"/>
      <c r="L1" s="27" t="s">
        <v>45</v>
      </c>
      <c r="M1" s="27"/>
      <c r="N1" s="27"/>
      <c r="O1" s="27"/>
      <c r="P1" s="27"/>
      <c r="Q1" s="27"/>
      <c r="R1" s="27"/>
      <c r="S1" s="27"/>
      <c r="T1" s="27"/>
      <c r="AA1" s="25" t="s">
        <v>10</v>
      </c>
      <c r="AB1" s="25" t="s">
        <v>42</v>
      </c>
      <c r="AC1" s="25" t="s">
        <v>43</v>
      </c>
      <c r="AD1" s="25" t="s">
        <v>44</v>
      </c>
    </row>
    <row r="2" spans="1:30" x14ac:dyDescent="0.45">
      <c r="B2" s="35"/>
      <c r="C2" s="35"/>
      <c r="D2" s="35"/>
      <c r="E2" s="33"/>
      <c r="F2" s="33"/>
      <c r="G2" s="33"/>
      <c r="H2" s="33"/>
      <c r="I2" s="33"/>
      <c r="J2" s="33"/>
      <c r="L2" s="25" t="str" cm="1">
        <f t="array" ref="L2">getColor(B2, "rgb")</f>
        <v>0, 0, 255</v>
      </c>
      <c r="M2" s="25" t="str" cm="1">
        <f t="array" ref="M2">getColor(C2, "rgb")</f>
        <v>0, 0, 255</v>
      </c>
      <c r="N2" s="25" t="str" cm="1">
        <f t="array" ref="N2">getColor(D2, "rgb")</f>
        <v>0, 0, 255</v>
      </c>
      <c r="O2" s="25" t="str" cm="1">
        <f t="array" ref="O2">getColor(E2, "rgb")</f>
        <v>255, 255, 255</v>
      </c>
      <c r="P2" s="25" t="str" cm="1">
        <f t="array" ref="P2">getColor(F2, "rgb")</f>
        <v>255, 255, 255</v>
      </c>
      <c r="Q2" s="25" t="str" cm="1">
        <f t="array" ref="Q2">getColor(G2, "rgb")</f>
        <v>255, 255, 255</v>
      </c>
      <c r="R2" s="25" t="str" cm="1">
        <f t="array" ref="R2">getColor(H2, "rgb")</f>
        <v>255, 255, 255</v>
      </c>
      <c r="S2" s="25" t="str" cm="1">
        <f t="array" ref="S2">getColor(I2, "rgb")</f>
        <v>255, 255, 255</v>
      </c>
      <c r="T2" s="25" t="str" cm="1">
        <f t="array" ref="T2">getColor(J2, "rgb")</f>
        <v>255, 255, 255</v>
      </c>
      <c r="AA2" s="25">
        <v>0</v>
      </c>
      <c r="AB2" s="25" cm="1">
        <f t="array" ref="AB2">SUMPRODUCT(--(VALUE(LEFT($L$2:$T$7, FIND(",", $L$2:$T$7) - 1)) = AA2)) / COUNTA($L$2:$T$7)</f>
        <v>0.14814814814814814</v>
      </c>
      <c r="AC2" s="25">
        <f>35 / COUNTA($L$2:$T$7)</f>
        <v>0.64814814814814814</v>
      </c>
      <c r="AD2" s="25" cm="1">
        <f t="array" ref="AD2">SUMPRODUCT(--(VALUE(RIGHT($L$2:$T$7, LEN($L$2:$T$7) - FIND("°", SUBSTITUTE($L$2:$T$7, ",", "°", 2)))) = AA2)) / COUNTA($L$2:$T$7)</f>
        <v>0.5</v>
      </c>
    </row>
    <row r="3" spans="1:30" x14ac:dyDescent="0.45">
      <c r="B3" s="35"/>
      <c r="C3" s="33"/>
      <c r="D3" s="35"/>
      <c r="E3" s="33"/>
      <c r="F3" s="33"/>
      <c r="G3" s="33"/>
      <c r="H3" s="33"/>
      <c r="I3" s="33"/>
      <c r="J3" s="33"/>
      <c r="L3" s="25" t="str" cm="1">
        <f t="array" ref="L3">getColor(B3, "rgb")</f>
        <v>0, 0, 255</v>
      </c>
      <c r="M3" s="25" t="str" cm="1">
        <f t="array" ref="M3">getColor(C3, "rgb")</f>
        <v>255, 255, 255</v>
      </c>
      <c r="N3" s="25" t="str" cm="1">
        <f t="array" ref="N3">getColor(D3, "rgb")</f>
        <v>0, 0, 255</v>
      </c>
      <c r="O3" s="25" t="str" cm="1">
        <f t="array" ref="O3">getColor(E3, "rgb")</f>
        <v>255, 255, 255</v>
      </c>
      <c r="P3" s="25" t="str" cm="1">
        <f t="array" ref="P3">getColor(F3, "rgb")</f>
        <v>255, 255, 255</v>
      </c>
      <c r="Q3" s="25" t="str" cm="1">
        <f t="array" ref="Q3">getColor(G3, "rgb")</f>
        <v>255, 255, 255</v>
      </c>
      <c r="R3" s="25" t="str" cm="1">
        <f t="array" ref="R3">getColor(H3, "rgb")</f>
        <v>255, 255, 255</v>
      </c>
      <c r="S3" s="25" t="str" cm="1">
        <f t="array" ref="S3">getColor(I3, "rgb")</f>
        <v>255, 255, 255</v>
      </c>
      <c r="T3" s="25" t="str" cm="1">
        <f t="array" ref="T3">getColor(J3, "rgb")</f>
        <v>255, 255, 255</v>
      </c>
      <c r="AA3" s="25">
        <v>1</v>
      </c>
      <c r="AB3" s="25" cm="1">
        <f t="array" ref="AB3">SUMPRODUCT(--(VALUE(LEFT($L$2:$T$7, FIND(",", $L$2:$T$7) - 1)) = AA3)) / COUNTA($L$2:$T$7)</f>
        <v>0</v>
      </c>
      <c r="AC3" s="25">
        <v>0</v>
      </c>
      <c r="AD3" s="25" cm="1">
        <f t="array" ref="AD3">SUMPRODUCT(--(VALUE(RIGHT($L$2:$T$7, LEN($L$2:$T$7) - FIND("°", SUBSTITUTE($L$2:$T$7, ",", "°", 2)))) = AA3)) / COUNTA($L$2:$T$7)</f>
        <v>0</v>
      </c>
    </row>
    <row r="4" spans="1:30" x14ac:dyDescent="0.45">
      <c r="B4" s="35"/>
      <c r="C4" s="35"/>
      <c r="D4" s="35"/>
      <c r="E4" s="33"/>
      <c r="F4" s="33"/>
      <c r="G4" s="33"/>
      <c r="H4" s="33"/>
      <c r="I4" s="33"/>
      <c r="J4" s="33"/>
      <c r="L4" s="25" t="str" cm="1">
        <f t="array" ref="L4">getColor(B4, "rgb")</f>
        <v>0, 0, 255</v>
      </c>
      <c r="M4" s="25" t="str" cm="1">
        <f t="array" ref="M4">getColor(C4, "rgb")</f>
        <v>0, 0, 255</v>
      </c>
      <c r="N4" s="25" t="str" cm="1">
        <f t="array" ref="N4">getColor(D4, "rgb")</f>
        <v>0, 0, 255</v>
      </c>
      <c r="O4" s="25" t="str" cm="1">
        <f t="array" ref="O4">getColor(E4, "rgb")</f>
        <v>255, 255, 255</v>
      </c>
      <c r="P4" s="25" t="str" cm="1">
        <f t="array" ref="P4">getColor(F4, "rgb")</f>
        <v>255, 255, 255</v>
      </c>
      <c r="Q4" s="25" t="str" cm="1">
        <f t="array" ref="Q4">getColor(G4, "rgb")</f>
        <v>255, 255, 255</v>
      </c>
      <c r="R4" s="25" t="str" cm="1">
        <f t="array" ref="R4">getColor(H4, "rgb")</f>
        <v>255, 255, 255</v>
      </c>
      <c r="S4" s="25" t="str" cm="1">
        <f t="array" ref="S4">getColor(I4, "rgb")</f>
        <v>255, 255, 255</v>
      </c>
      <c r="T4" s="25" t="str" cm="1">
        <f t="array" ref="T4">getColor(J4, "rgb")</f>
        <v>255, 255, 255</v>
      </c>
      <c r="AA4" s="25">
        <v>2</v>
      </c>
      <c r="AB4" s="25" cm="1">
        <f t="array" ref="AB4">SUMPRODUCT(--(VALUE(LEFT($L$2:$T$7, FIND(",", $L$2:$T$7) - 1)) = AA4)) / COUNTA($L$2:$T$7)</f>
        <v>0</v>
      </c>
      <c r="AC4" s="25">
        <v>0</v>
      </c>
      <c r="AD4" s="25" cm="1">
        <f t="array" ref="AD4">SUMPRODUCT(--(VALUE(RIGHT($L$2:$T$7, LEN($L$2:$T$7) - FIND("°", SUBSTITUTE($L$2:$T$7, ",", "°", 2)))) = AA4)) / COUNTA($L$2:$T$7)</f>
        <v>0</v>
      </c>
    </row>
    <row r="5" spans="1:30" x14ac:dyDescent="0.45">
      <c r="B5" s="34"/>
      <c r="C5" s="34"/>
      <c r="D5" s="34"/>
      <c r="E5" s="34"/>
      <c r="F5" s="34"/>
      <c r="G5" s="34"/>
      <c r="H5" s="34"/>
      <c r="I5" s="34"/>
      <c r="J5" s="34"/>
      <c r="L5" s="25" t="str" cm="1">
        <f t="array" ref="L5">getColor(B5, "rgb")</f>
        <v>255, 0, 0</v>
      </c>
      <c r="M5" s="25" t="str" cm="1">
        <f t="array" ref="M5">getColor(C5, "rgb")</f>
        <v>255, 0, 0</v>
      </c>
      <c r="N5" s="25" t="str" cm="1">
        <f t="array" ref="N5">getColor(D5, "rgb")</f>
        <v>255, 0, 0</v>
      </c>
      <c r="O5" s="25" t="str" cm="1">
        <f t="array" ref="O5">getColor(E5, "rgb")</f>
        <v>255, 0, 0</v>
      </c>
      <c r="P5" s="25" t="str" cm="1">
        <f t="array" ref="P5">getColor(F5, "rgb")</f>
        <v>255, 0, 0</v>
      </c>
      <c r="Q5" s="25" t="str" cm="1">
        <f t="array" ref="Q5">getColor(G5, "rgb")</f>
        <v>255, 0, 0</v>
      </c>
      <c r="R5" s="25" t="str" cm="1">
        <f t="array" ref="R5">getColor(H5, "rgb")</f>
        <v>255, 0, 0</v>
      </c>
      <c r="S5" s="25" t="str" cm="1">
        <f t="array" ref="S5">getColor(I5, "rgb")</f>
        <v>255, 0, 0</v>
      </c>
      <c r="T5" s="25" t="str" cm="1">
        <f t="array" ref="T5">getColor(J5, "rgb")</f>
        <v>255, 0, 0</v>
      </c>
      <c r="AA5" s="25">
        <v>3</v>
      </c>
      <c r="AB5" s="25" cm="1">
        <f t="array" ref="AB5">SUMPRODUCT(--(VALUE(LEFT($L$2:$T$7, FIND(",", $L$2:$T$7) - 1)) = AA5)) / COUNTA($L$2:$T$7)</f>
        <v>0</v>
      </c>
      <c r="AC5" s="25">
        <v>0</v>
      </c>
      <c r="AD5" s="25" cm="1">
        <f t="array" ref="AD5">SUMPRODUCT(--(VALUE(RIGHT($L$2:$T$7, LEN($L$2:$T$7) - FIND("°", SUBSTITUTE($L$2:$T$7, ",", "°", 2)))) = AA5)) / COUNTA($L$2:$T$7)</f>
        <v>0</v>
      </c>
    </row>
    <row r="6" spans="1:30" x14ac:dyDescent="0.45">
      <c r="B6" s="34"/>
      <c r="C6" s="34"/>
      <c r="D6" s="34"/>
      <c r="E6" s="34"/>
      <c r="F6" s="34"/>
      <c r="G6" s="34"/>
      <c r="H6" s="34"/>
      <c r="I6" s="34"/>
      <c r="J6" s="34"/>
      <c r="L6" s="25" t="str" cm="1">
        <f t="array" ref="L6">getColor(B6, "rgb")</f>
        <v>255, 0, 0</v>
      </c>
      <c r="M6" s="25" t="str" cm="1">
        <f t="array" ref="M6">getColor(C6, "rgb")</f>
        <v>255, 0, 0</v>
      </c>
      <c r="N6" s="25" t="str" cm="1">
        <f t="array" ref="N6">getColor(D6, "rgb")</f>
        <v>255, 0, 0</v>
      </c>
      <c r="O6" s="25" t="str" cm="1">
        <f t="array" ref="O6">getColor(E6, "rgb")</f>
        <v>255, 0, 0</v>
      </c>
      <c r="P6" s="25" t="str" cm="1">
        <f t="array" ref="P6">getColor(F6, "rgb")</f>
        <v>255, 0, 0</v>
      </c>
      <c r="Q6" s="25" t="str" cm="1">
        <f t="array" ref="Q6">getColor(G6, "rgb")</f>
        <v>255, 0, 0</v>
      </c>
      <c r="R6" s="25" t="str" cm="1">
        <f t="array" ref="R6">getColor(H6, "rgb")</f>
        <v>255, 0, 0</v>
      </c>
      <c r="S6" s="25" t="str" cm="1">
        <f t="array" ref="S6">getColor(I6, "rgb")</f>
        <v>255, 0, 0</v>
      </c>
      <c r="T6" s="25" t="str" cm="1">
        <f t="array" ref="T6">getColor(J6, "rgb")</f>
        <v>255, 0, 0</v>
      </c>
      <c r="AA6" s="25">
        <v>4</v>
      </c>
      <c r="AB6" s="25" cm="1">
        <f t="array" ref="AB6">SUMPRODUCT(--(VALUE(LEFT($L$2:$T$7, FIND(",", $L$2:$T$7) - 1)) = AA6)) / COUNTA($L$2:$T$7)</f>
        <v>0</v>
      </c>
      <c r="AC6" s="25">
        <v>0</v>
      </c>
      <c r="AD6" s="25" cm="1">
        <f t="array" ref="AD6">SUMPRODUCT(--(VALUE(RIGHT($L$2:$T$7, LEN($L$2:$T$7) - FIND("°", SUBSTITUTE($L$2:$T$7, ",", "°", 2)))) = AA6)) / COUNTA($L$2:$T$7)</f>
        <v>0</v>
      </c>
    </row>
    <row r="7" spans="1:30" x14ac:dyDescent="0.45">
      <c r="B7" s="34"/>
      <c r="C7" s="34"/>
      <c r="D7" s="34"/>
      <c r="E7" s="34"/>
      <c r="F7" s="34"/>
      <c r="G7" s="34"/>
      <c r="H7" s="34"/>
      <c r="I7" s="34"/>
      <c r="J7" s="34"/>
      <c r="L7" s="25" t="str" cm="1">
        <f t="array" ref="L7">getColor(B7, "rgb")</f>
        <v>255, 0, 0</v>
      </c>
      <c r="M7" s="25" t="str" cm="1">
        <f t="array" ref="M7">getColor(C7, "rgb")</f>
        <v>255, 0, 0</v>
      </c>
      <c r="N7" s="25" t="str" cm="1">
        <f t="array" ref="N7">getColor(D7, "rgb")</f>
        <v>255, 0, 0</v>
      </c>
      <c r="O7" s="25" t="str" cm="1">
        <f t="array" ref="O7">getColor(E7, "rgb")</f>
        <v>255, 0, 0</v>
      </c>
      <c r="P7" s="25" t="str" cm="1">
        <f t="array" ref="P7">getColor(F7, "rgb")</f>
        <v>255, 0, 0</v>
      </c>
      <c r="Q7" s="25" t="str" cm="1">
        <f t="array" ref="Q7">getColor(G7, "rgb")</f>
        <v>255, 0, 0</v>
      </c>
      <c r="R7" s="25" t="str" cm="1">
        <f t="array" ref="R7">getColor(H7, "rgb")</f>
        <v>255, 0, 0</v>
      </c>
      <c r="S7" s="25" t="str" cm="1">
        <f t="array" ref="S7">getColor(I7, "rgb")</f>
        <v>255, 0, 0</v>
      </c>
      <c r="T7" s="25" t="str" cm="1">
        <f t="array" ref="T7">getColor(J7, "rgb")</f>
        <v>255, 0, 0</v>
      </c>
      <c r="AA7" s="25">
        <v>5</v>
      </c>
      <c r="AB7" s="25" cm="1">
        <f t="array" ref="AB7">SUMPRODUCT(--(VALUE(LEFT($L$2:$T$7, FIND(",", $L$2:$T$7) - 1)) = AA7)) / COUNTA($L$2:$T$7)</f>
        <v>0</v>
      </c>
      <c r="AC7" s="25">
        <v>0</v>
      </c>
      <c r="AD7" s="25" cm="1">
        <f t="array" ref="AD7">SUMPRODUCT(--(VALUE(RIGHT($L$2:$T$7, LEN($L$2:$T$7) - FIND("°", SUBSTITUTE($L$2:$T$7, ",", "°", 2)))) = AA7)) / COUNTA($L$2:$T$7)</f>
        <v>0</v>
      </c>
    </row>
    <row r="8" spans="1:30" x14ac:dyDescent="0.45">
      <c r="AA8" s="25">
        <v>6</v>
      </c>
      <c r="AB8" s="25" cm="1">
        <f t="array" ref="AB8">SUMPRODUCT(--(VALUE(LEFT($L$2:$T$7, FIND(",", $L$2:$T$7) - 1)) = AA8)) / COUNTA($L$2:$T$7)</f>
        <v>0</v>
      </c>
      <c r="AC8" s="25">
        <v>0</v>
      </c>
      <c r="AD8" s="25" cm="1">
        <f t="array" ref="AD8">SUMPRODUCT(--(VALUE(RIGHT($L$2:$T$7, LEN($L$2:$T$7) - FIND("°", SUBSTITUTE($L$2:$T$7, ",", "°", 2)))) = AA8)) / COUNTA($L$2:$T$7)</f>
        <v>0</v>
      </c>
    </row>
    <row r="9" spans="1:30" x14ac:dyDescent="0.45">
      <c r="A9" s="28" t="s">
        <v>21</v>
      </c>
      <c r="AA9" s="25">
        <v>7</v>
      </c>
      <c r="AB9" s="25" cm="1">
        <f t="array" ref="AB9">SUMPRODUCT(--(VALUE(LEFT($L$2:$T$7, FIND(",", $L$2:$T$7) - 1)) = AA9)) / COUNTA($L$2:$T$7)</f>
        <v>0</v>
      </c>
      <c r="AC9" s="25">
        <v>0</v>
      </c>
      <c r="AD9" s="25" cm="1">
        <f t="array" ref="AD9">SUMPRODUCT(--(VALUE(RIGHT($L$2:$T$7, LEN($L$2:$T$7) - FIND("°", SUBSTITUTE($L$2:$T$7, ",", "°", 2)))) = AA9)) / COUNTA($L$2:$T$7)</f>
        <v>0</v>
      </c>
    </row>
    <row r="10" spans="1:30" x14ac:dyDescent="0.45">
      <c r="A10" s="28"/>
      <c r="AA10" s="25">
        <v>8</v>
      </c>
      <c r="AB10" s="25" cm="1">
        <f t="array" ref="AB10">SUMPRODUCT(--(VALUE(LEFT($L$2:$T$7, FIND(",", $L$2:$T$7) - 1)) = AA10)) / COUNTA($L$2:$T$7)</f>
        <v>0</v>
      </c>
      <c r="AC10" s="25">
        <v>0</v>
      </c>
      <c r="AD10" s="25" cm="1">
        <f t="array" ref="AD10">SUMPRODUCT(--(VALUE(RIGHT($L$2:$T$7, LEN($L$2:$T$7) - FIND("°", SUBSTITUTE($L$2:$T$7, ",", "°", 2)))) = AA10)) / COUNTA($L$2:$T$7)</f>
        <v>0</v>
      </c>
    </row>
    <row r="11" spans="1:30" x14ac:dyDescent="0.45">
      <c r="A11" s="28"/>
      <c r="AA11" s="25">
        <v>9</v>
      </c>
      <c r="AB11" s="25" cm="1">
        <f t="array" ref="AB11">SUMPRODUCT(--(VALUE(LEFT($L$2:$T$7, FIND(",", $L$2:$T$7) - 1)) = AA11)) / COUNTA($L$2:$T$7)</f>
        <v>0</v>
      </c>
      <c r="AC11" s="25">
        <v>0</v>
      </c>
      <c r="AD11" s="25" cm="1">
        <f t="array" ref="AD11">SUMPRODUCT(--(VALUE(RIGHT($L$2:$T$7, LEN($L$2:$T$7) - FIND("°", SUBSTITUTE($L$2:$T$7, ",", "°", 2)))) = AA11)) / COUNTA($L$2:$T$7)</f>
        <v>0</v>
      </c>
    </row>
    <row r="12" spans="1:30" x14ac:dyDescent="0.45">
      <c r="A12" s="28"/>
      <c r="AA12" s="25">
        <v>10</v>
      </c>
      <c r="AB12" s="25" cm="1">
        <f t="array" ref="AB12">SUMPRODUCT(--(VALUE(LEFT($L$2:$T$7, FIND(",", $L$2:$T$7) - 1)) = AA12)) / COUNTA($L$2:$T$7)</f>
        <v>0</v>
      </c>
      <c r="AC12" s="25">
        <v>0</v>
      </c>
      <c r="AD12" s="25" cm="1">
        <f t="array" ref="AD12">SUMPRODUCT(--(VALUE(RIGHT($L$2:$T$7, LEN($L$2:$T$7) - FIND("°", SUBSTITUTE($L$2:$T$7, ",", "°", 2)))) = AA12)) / COUNTA($L$2:$T$7)</f>
        <v>0</v>
      </c>
    </row>
    <row r="13" spans="1:30" x14ac:dyDescent="0.45">
      <c r="A13" s="28"/>
      <c r="AA13" s="25">
        <v>11</v>
      </c>
      <c r="AB13" s="25" cm="1">
        <f t="array" ref="AB13">SUMPRODUCT(--(VALUE(LEFT($L$2:$T$7, FIND(",", $L$2:$T$7) - 1)) = AA13)) / COUNTA($L$2:$T$7)</f>
        <v>0</v>
      </c>
      <c r="AC13" s="25">
        <v>0</v>
      </c>
      <c r="AD13" s="25" cm="1">
        <f t="array" ref="AD13">SUMPRODUCT(--(VALUE(RIGHT($L$2:$T$7, LEN($L$2:$T$7) - FIND("°", SUBSTITUTE($L$2:$T$7, ",", "°", 2)))) = AA13)) / COUNTA($L$2:$T$7)</f>
        <v>0</v>
      </c>
    </row>
    <row r="14" spans="1:30" x14ac:dyDescent="0.45">
      <c r="A14" s="28"/>
      <c r="AA14" s="25">
        <v>12</v>
      </c>
      <c r="AB14" s="25" cm="1">
        <f t="array" ref="AB14">SUMPRODUCT(--(VALUE(LEFT($L$2:$T$7, FIND(",", $L$2:$T$7) - 1)) = AA14)) / COUNTA($L$2:$T$7)</f>
        <v>0</v>
      </c>
      <c r="AC14" s="25">
        <v>0</v>
      </c>
      <c r="AD14" s="25" cm="1">
        <f t="array" ref="AD14">SUMPRODUCT(--(VALUE(RIGHT($L$2:$T$7, LEN($L$2:$T$7) - FIND("°", SUBSTITUTE($L$2:$T$7, ",", "°", 2)))) = AA14)) / COUNTA($L$2:$T$7)</f>
        <v>0</v>
      </c>
    </row>
    <row r="15" spans="1:30" x14ac:dyDescent="0.45">
      <c r="A15" s="28"/>
      <c r="AA15" s="25">
        <v>13</v>
      </c>
      <c r="AB15" s="25" cm="1">
        <f t="array" ref="AB15">SUMPRODUCT(--(VALUE(LEFT($L$2:$T$7, FIND(",", $L$2:$T$7) - 1)) = AA15)) / COUNTA($L$2:$T$7)</f>
        <v>0</v>
      </c>
      <c r="AC15" s="25">
        <v>0</v>
      </c>
      <c r="AD15" s="25" cm="1">
        <f t="array" ref="AD15">SUMPRODUCT(--(VALUE(RIGHT($L$2:$T$7, LEN($L$2:$T$7) - FIND("°", SUBSTITUTE($L$2:$T$7, ",", "°", 2)))) = AA15)) / COUNTA($L$2:$T$7)</f>
        <v>0</v>
      </c>
    </row>
    <row r="16" spans="1:30" x14ac:dyDescent="0.45">
      <c r="A16" s="28"/>
      <c r="AA16" s="25">
        <v>14</v>
      </c>
      <c r="AB16" s="25" cm="1">
        <f t="array" ref="AB16">SUMPRODUCT(--(VALUE(LEFT($L$2:$T$7, FIND(",", $L$2:$T$7) - 1)) = AA16)) / COUNTA($L$2:$T$7)</f>
        <v>0</v>
      </c>
      <c r="AC16" s="25">
        <v>0</v>
      </c>
      <c r="AD16" s="25" cm="1">
        <f t="array" ref="AD16">SUMPRODUCT(--(VALUE(RIGHT($L$2:$T$7, LEN($L$2:$T$7) - FIND("°", SUBSTITUTE($L$2:$T$7, ",", "°", 2)))) = AA16)) / COUNTA($L$2:$T$7)</f>
        <v>0</v>
      </c>
    </row>
    <row r="17" spans="1:30" x14ac:dyDescent="0.45">
      <c r="A17" s="28"/>
      <c r="AA17" s="25">
        <v>15</v>
      </c>
      <c r="AB17" s="25" cm="1">
        <f t="array" ref="AB17">SUMPRODUCT(--(VALUE(LEFT($L$2:$T$7, FIND(",", $L$2:$T$7) - 1)) = AA17)) / COUNTA($L$2:$T$7)</f>
        <v>0</v>
      </c>
      <c r="AC17" s="25">
        <v>0</v>
      </c>
      <c r="AD17" s="25" cm="1">
        <f t="array" ref="AD17">SUMPRODUCT(--(VALUE(RIGHT($L$2:$T$7, LEN($L$2:$T$7) - FIND("°", SUBSTITUTE($L$2:$T$7, ",", "°", 2)))) = AA17)) / COUNTA($L$2:$T$7)</f>
        <v>0</v>
      </c>
    </row>
    <row r="18" spans="1:30" x14ac:dyDescent="0.45">
      <c r="A18" s="28"/>
      <c r="AA18" s="25">
        <v>16</v>
      </c>
      <c r="AB18" s="25" cm="1">
        <f t="array" ref="AB18">SUMPRODUCT(--(VALUE(LEFT($L$2:$T$7, FIND(",", $L$2:$T$7) - 1)) = AA18)) / COUNTA($L$2:$T$7)</f>
        <v>0</v>
      </c>
      <c r="AC18" s="25">
        <v>0</v>
      </c>
      <c r="AD18" s="25" cm="1">
        <f t="array" ref="AD18">SUMPRODUCT(--(VALUE(RIGHT($L$2:$T$7, LEN($L$2:$T$7) - FIND("°", SUBSTITUTE($L$2:$T$7, ",", "°", 2)))) = AA18)) / COUNTA($L$2:$T$7)</f>
        <v>0</v>
      </c>
    </row>
    <row r="19" spans="1:30" x14ac:dyDescent="0.45">
      <c r="A19" s="28"/>
      <c r="AA19" s="25">
        <v>17</v>
      </c>
      <c r="AB19" s="25" cm="1">
        <f t="array" ref="AB19">SUMPRODUCT(--(VALUE(LEFT($L$2:$T$7, FIND(",", $L$2:$T$7) - 1)) = AA19)) / COUNTA($L$2:$T$7)</f>
        <v>0</v>
      </c>
      <c r="AC19" s="25">
        <v>0</v>
      </c>
      <c r="AD19" s="25" cm="1">
        <f t="array" ref="AD19">SUMPRODUCT(--(VALUE(RIGHT($L$2:$T$7, LEN($L$2:$T$7) - FIND("°", SUBSTITUTE($L$2:$T$7, ",", "°", 2)))) = AA19)) / COUNTA($L$2:$T$7)</f>
        <v>0</v>
      </c>
    </row>
    <row r="20" spans="1:30" x14ac:dyDescent="0.45">
      <c r="A20" s="28"/>
      <c r="AA20" s="25">
        <v>18</v>
      </c>
      <c r="AB20" s="25" cm="1">
        <f t="array" ref="AB20">SUMPRODUCT(--(VALUE(LEFT($L$2:$T$7, FIND(",", $L$2:$T$7) - 1)) = AA20)) / COUNTA($L$2:$T$7)</f>
        <v>0</v>
      </c>
      <c r="AC20" s="25">
        <v>0</v>
      </c>
      <c r="AD20" s="25" cm="1">
        <f t="array" ref="AD20">SUMPRODUCT(--(VALUE(RIGHT($L$2:$T$7, LEN($L$2:$T$7) - FIND("°", SUBSTITUTE($L$2:$T$7, ",", "°", 2)))) = AA20)) / COUNTA($L$2:$T$7)</f>
        <v>0</v>
      </c>
    </row>
    <row r="21" spans="1:30" x14ac:dyDescent="0.45">
      <c r="A21" s="28"/>
      <c r="AA21" s="25">
        <v>19</v>
      </c>
      <c r="AB21" s="25" cm="1">
        <f t="array" ref="AB21">SUMPRODUCT(--(VALUE(LEFT($L$2:$T$7, FIND(",", $L$2:$T$7) - 1)) = AA21)) / COUNTA($L$2:$T$7)</f>
        <v>0</v>
      </c>
      <c r="AC21" s="25">
        <v>0</v>
      </c>
      <c r="AD21" s="25" cm="1">
        <f t="array" ref="AD21">SUMPRODUCT(--(VALUE(RIGHT($L$2:$T$7, LEN($L$2:$T$7) - FIND("°", SUBSTITUTE($L$2:$T$7, ",", "°", 2)))) = AA21)) / COUNTA($L$2:$T$7)</f>
        <v>0</v>
      </c>
    </row>
    <row r="22" spans="1:30" x14ac:dyDescent="0.45">
      <c r="A22" s="28"/>
      <c r="AA22" s="25">
        <v>20</v>
      </c>
      <c r="AB22" s="25" cm="1">
        <f t="array" ref="AB22">SUMPRODUCT(--(VALUE(LEFT($L$2:$T$7, FIND(",", $L$2:$T$7) - 1)) = AA22)) / COUNTA($L$2:$T$7)</f>
        <v>0</v>
      </c>
      <c r="AC22" s="25">
        <v>0</v>
      </c>
      <c r="AD22" s="25" cm="1">
        <f t="array" ref="AD22">SUMPRODUCT(--(VALUE(RIGHT($L$2:$T$7, LEN($L$2:$T$7) - FIND("°", SUBSTITUTE($L$2:$T$7, ",", "°", 2)))) = AA22)) / COUNTA($L$2:$T$7)</f>
        <v>0</v>
      </c>
    </row>
    <row r="23" spans="1:30" x14ac:dyDescent="0.45">
      <c r="A23" s="28"/>
      <c r="AA23" s="25">
        <v>21</v>
      </c>
      <c r="AB23" s="25" cm="1">
        <f t="array" ref="AB23">SUMPRODUCT(--(VALUE(LEFT($L$2:$T$7, FIND(",", $L$2:$T$7) - 1)) = AA23)) / COUNTA($L$2:$T$7)</f>
        <v>0</v>
      </c>
      <c r="AC23" s="25">
        <v>0</v>
      </c>
      <c r="AD23" s="25" cm="1">
        <f t="array" ref="AD23">SUMPRODUCT(--(VALUE(RIGHT($L$2:$T$7, LEN($L$2:$T$7) - FIND("°", SUBSTITUTE($L$2:$T$7, ",", "°", 2)))) = AA23)) / COUNTA($L$2:$T$7)</f>
        <v>0</v>
      </c>
    </row>
    <row r="24" spans="1:30" x14ac:dyDescent="0.45">
      <c r="AA24" s="25">
        <v>22</v>
      </c>
      <c r="AB24" s="25" cm="1">
        <f t="array" ref="AB24">SUMPRODUCT(--(VALUE(LEFT($L$2:$T$7, FIND(",", $L$2:$T$7) - 1)) = AA24)) / COUNTA($L$2:$T$7)</f>
        <v>0</v>
      </c>
      <c r="AC24" s="25">
        <v>0</v>
      </c>
      <c r="AD24" s="25" cm="1">
        <f t="array" ref="AD24">SUMPRODUCT(--(VALUE(RIGHT($L$2:$T$7, LEN($L$2:$T$7) - FIND("°", SUBSTITUTE($L$2:$T$7, ",", "°", 2)))) = AA24)) / COUNTA($L$2:$T$7)</f>
        <v>0</v>
      </c>
    </row>
    <row r="25" spans="1:30" x14ac:dyDescent="0.45">
      <c r="B25" s="27" t="s">
        <v>57</v>
      </c>
      <c r="C25" s="27"/>
      <c r="D25" s="27"/>
      <c r="E25" s="27"/>
      <c r="F25" s="27"/>
      <c r="G25" s="27"/>
      <c r="H25" s="27"/>
      <c r="K25" s="25"/>
      <c r="L25" s="25" t="s">
        <v>51</v>
      </c>
      <c r="M25" s="25" t="s">
        <v>46</v>
      </c>
      <c r="N25" s="25" t="s">
        <v>47</v>
      </c>
      <c r="O25" s="25" t="s">
        <v>48</v>
      </c>
      <c r="P25" s="25" t="s">
        <v>49</v>
      </c>
      <c r="Q25" s="25" t="s">
        <v>50</v>
      </c>
      <c r="R25" s="25" t="s">
        <v>48</v>
      </c>
    </row>
    <row r="26" spans="1:30" x14ac:dyDescent="0.45">
      <c r="A26" s="28" t="s">
        <v>52</v>
      </c>
      <c r="B26" s="25"/>
      <c r="C26" s="46">
        <v>0.3</v>
      </c>
      <c r="D26" s="46"/>
      <c r="E26" s="47">
        <v>0.2</v>
      </c>
      <c r="F26" s="47"/>
      <c r="G26" s="48">
        <v>0.5</v>
      </c>
      <c r="H26" s="48"/>
      <c r="K26" s="37"/>
      <c r="L26" s="25">
        <f>0.3</f>
        <v>0.3</v>
      </c>
      <c r="M26" s="25">
        <v>172</v>
      </c>
      <c r="N26" s="25">
        <v>137</v>
      </c>
      <c r="O26" s="25">
        <v>150</v>
      </c>
      <c r="P26" s="25">
        <v>60.661401051161199</v>
      </c>
      <c r="Q26" s="25">
        <v>15.4451392801056</v>
      </c>
      <c r="R26">
        <v>-1.8512994676365799</v>
      </c>
      <c r="AA26" s="25">
        <v>23</v>
      </c>
      <c r="AB26" s="25" cm="1">
        <f t="array" ref="AB26">SUMPRODUCT(--(VALUE(LEFT($L$2:$T$7, FIND(",", $L$2:$T$7) - 1)) = AA26)) / COUNTA($L$2:$T$7)</f>
        <v>0</v>
      </c>
      <c r="AC26" s="25">
        <v>0</v>
      </c>
      <c r="AD26" s="25" cm="1">
        <f t="array" ref="AD26">SUMPRODUCT(--(VALUE(RIGHT($L$2:$T$7, LEN($L$2:$T$7) - FIND("°", SUBSTITUTE($L$2:$T$7, ",", "°", 2)))) = AA26)) / COUNTA($L$2:$T$7)</f>
        <v>0</v>
      </c>
    </row>
    <row r="27" spans="1:30" x14ac:dyDescent="0.45">
      <c r="A27" s="28"/>
      <c r="B27" s="43">
        <v>0.3</v>
      </c>
      <c r="C27" s="36" cm="1">
        <f t="array" ref="C27">DistanciaL2($P26-$P30,$Q26-$Q30,$R26-$R30)</f>
        <v>79.877031222923947</v>
      </c>
      <c r="D27" s="36"/>
      <c r="E27" s="36" cm="1">
        <f t="array" ref="E27">DistanciaL2($P27-$P30,$Q27-$Q30,$R27-$R30)</f>
        <v>133.20716371918988</v>
      </c>
      <c r="F27" s="36"/>
      <c r="G27" s="36" cm="1">
        <f t="array" ref="G27">DistanciaL2($P28-$P30,$Q28-$Q30,$R28-$R30)</f>
        <v>24.939966262279214</v>
      </c>
      <c r="H27" s="36"/>
      <c r="K27" s="38"/>
      <c r="L27" s="25">
        <f>0.2</f>
        <v>0.2</v>
      </c>
      <c r="M27" s="25">
        <v>218</v>
      </c>
      <c r="N27" s="25">
        <v>38</v>
      </c>
      <c r="O27" s="25">
        <v>128</v>
      </c>
      <c r="P27" s="25">
        <v>49.3138680962455</v>
      </c>
      <c r="Q27" s="25">
        <v>71.672294498019397</v>
      </c>
      <c r="R27">
        <v>-4.92975864889502</v>
      </c>
      <c r="AA27" s="25">
        <v>24</v>
      </c>
      <c r="AB27" s="25" cm="1">
        <f t="array" ref="AB27">SUMPRODUCT(--(VALUE(LEFT($L$2:$T$7, FIND(",", $L$2:$T$7) - 1)) = AA27)) / COUNTA($L$2:$T$7)</f>
        <v>0</v>
      </c>
      <c r="AC27" s="25">
        <v>0</v>
      </c>
      <c r="AD27" s="25" cm="1">
        <f t="array" ref="AD27">SUMPRODUCT(--(VALUE(RIGHT($L$2:$T$7, LEN($L$2:$T$7) - FIND("°", SUBSTITUTE($L$2:$T$7, ",", "°", 2)))) = AA27)) / COUNTA($L$2:$T$7)</f>
        <v>0</v>
      </c>
    </row>
    <row r="28" spans="1:30" x14ac:dyDescent="0.45">
      <c r="A28" s="28"/>
      <c r="B28" s="43"/>
      <c r="C28" s="36"/>
      <c r="D28" s="36"/>
      <c r="E28" s="36"/>
      <c r="F28" s="36"/>
      <c r="G28" s="36"/>
      <c r="H28" s="36"/>
      <c r="K28" s="39"/>
      <c r="L28" s="25">
        <f>0.5</f>
        <v>0.5</v>
      </c>
      <c r="M28" s="25">
        <v>129</v>
      </c>
      <c r="N28" s="25">
        <v>175</v>
      </c>
      <c r="O28" s="25">
        <v>103</v>
      </c>
      <c r="P28">
        <v>66.753333110633505</v>
      </c>
      <c r="Q28" s="25">
        <v>-28.697004374028101</v>
      </c>
      <c r="R28">
        <v>32.053816999057403</v>
      </c>
      <c r="AA28" s="25">
        <v>25</v>
      </c>
      <c r="AB28" s="25" cm="1">
        <f t="array" ref="AB28">SUMPRODUCT(--(VALUE(LEFT($L$2:$T$7, FIND(",", $L$2:$T$7) - 1)) = AA28)) / COUNTA($L$2:$T$7)</f>
        <v>0</v>
      </c>
      <c r="AC28" s="25">
        <v>0</v>
      </c>
      <c r="AD28" s="25" cm="1">
        <f t="array" ref="AD28">SUMPRODUCT(--(VALUE(RIGHT($L$2:$T$7, LEN($L$2:$T$7) - FIND("°", SUBSTITUTE($L$2:$T$7, ",", "°", 2)))) = AA28)) / COUNTA($L$2:$T$7)</f>
        <v>0</v>
      </c>
    </row>
    <row r="29" spans="1:30" x14ac:dyDescent="0.45">
      <c r="A29" s="28"/>
      <c r="B29" s="44">
        <v>0.4</v>
      </c>
      <c r="C29" s="36" cm="1">
        <f t="array" ref="C29">DistanciaL2($P26-$P31,$Q26-$Q31,$R26-$R31)</f>
        <v>27.027519212038175</v>
      </c>
      <c r="D29" s="36"/>
      <c r="E29" s="36" cm="1">
        <f t="array" ref="E29">DistanciaL2($P27-$P31,$Q27-$Q31,$R27-$R31)</f>
        <v>62.172159252683336</v>
      </c>
      <c r="F29" s="36"/>
      <c r="G29" s="36" cm="1">
        <f t="array" ref="G29">DistanciaL2($P28-$P31,$Q28-$Q31,$R28-$R31)</f>
        <v>52.322921503436007</v>
      </c>
      <c r="H29" s="36"/>
      <c r="K29" s="25"/>
      <c r="N29"/>
      <c r="O29"/>
      <c r="P29"/>
      <c r="R29"/>
      <c r="AA29" s="25">
        <v>26</v>
      </c>
      <c r="AB29" s="25" cm="1">
        <f t="array" ref="AB29">SUMPRODUCT(--(VALUE(LEFT($L$2:$T$7, FIND(",", $L$2:$T$7) - 1)) = AA29)) / COUNTA($L$2:$T$7)</f>
        <v>0</v>
      </c>
      <c r="AC29" s="25">
        <v>0</v>
      </c>
      <c r="AD29" s="25" cm="1">
        <f t="array" ref="AD29">SUMPRODUCT(--(VALUE(RIGHT($L$2:$T$7, LEN($L$2:$T$7) - FIND("°", SUBSTITUTE($L$2:$T$7, ",", "°", 2)))) = AA29)) / COUNTA($L$2:$T$7)</f>
        <v>0</v>
      </c>
    </row>
    <row r="30" spans="1:30" x14ac:dyDescent="0.45">
      <c r="A30" s="28"/>
      <c r="B30" s="44"/>
      <c r="C30" s="36"/>
      <c r="D30" s="36"/>
      <c r="E30" s="36"/>
      <c r="F30" s="36"/>
      <c r="G30" s="36"/>
      <c r="H30" s="36"/>
      <c r="K30" s="40"/>
      <c r="L30" s="25">
        <f t="shared" ref="L30" si="0">0.3</f>
        <v>0.3</v>
      </c>
      <c r="M30" s="25">
        <v>94</v>
      </c>
      <c r="N30" s="25">
        <v>202</v>
      </c>
      <c r="O30" s="25">
        <v>103</v>
      </c>
      <c r="P30">
        <v>73.285236400166596</v>
      </c>
      <c r="Q30" s="25">
        <v>-51.427165991933897</v>
      </c>
      <c r="R30">
        <v>39.970628819714399</v>
      </c>
      <c r="AA30" s="25">
        <v>27</v>
      </c>
      <c r="AB30" s="25" cm="1">
        <f t="array" ref="AB30">SUMPRODUCT(--(VALUE(LEFT($L$2:$T$7, FIND(",", $L$2:$T$7) - 1)) = AA30)) / COUNTA($L$2:$T$7)</f>
        <v>0</v>
      </c>
      <c r="AC30" s="25">
        <v>0</v>
      </c>
      <c r="AD30" s="25" cm="1">
        <f t="array" ref="AD30">SUMPRODUCT(--(VALUE(RIGHT($L$2:$T$7, LEN($L$2:$T$7) - FIND("°", SUBSTITUTE($L$2:$T$7, ",", "°", 2)))) = AA30)) / COUNTA($L$2:$T$7)</f>
        <v>0</v>
      </c>
    </row>
    <row r="31" spans="1:30" x14ac:dyDescent="0.45">
      <c r="A31" s="28"/>
      <c r="B31" s="45">
        <v>0.3</v>
      </c>
      <c r="C31" s="36" cm="1">
        <f t="array" ref="C31">DistanciaL2($P26-$P32,$Q26-$Q32,$R26-$R32)</f>
        <v>86.21815261900062</v>
      </c>
      <c r="D31" s="36"/>
      <c r="E31" s="36" cm="1">
        <f t="array" ref="E31">DistanciaL2($P27-$P32,$Q27-$Q32,$R27-$R32)</f>
        <v>114.72785085774763</v>
      </c>
      <c r="F31" s="36"/>
      <c r="G31" s="36" cm="1">
        <f t="array" ref="G31">DistanciaL2($P28-$P32,$Q28-$Q32,$R28-$R32)</f>
        <v>59.630156860428293</v>
      </c>
      <c r="H31" s="36"/>
      <c r="K31" s="42"/>
      <c r="L31" s="25">
        <f>0.4</f>
        <v>0.4</v>
      </c>
      <c r="M31" s="25">
        <v>126</v>
      </c>
      <c r="N31" s="25">
        <v>87</v>
      </c>
      <c r="O31" s="25">
        <v>70</v>
      </c>
      <c r="P31" s="25">
        <v>40.725923370717901</v>
      </c>
      <c r="Q31" s="25">
        <v>13.8832650621419</v>
      </c>
      <c r="R31">
        <v>16.331771596870102</v>
      </c>
      <c r="AA31" s="25">
        <v>28</v>
      </c>
      <c r="AB31" s="25" cm="1">
        <f t="array" ref="AB31">SUMPRODUCT(--(VALUE(LEFT($L$2:$T$7, FIND(",", $L$2:$T$7) - 1)) = AA31)) / COUNTA($L$2:$T$7)</f>
        <v>0</v>
      </c>
      <c r="AC31" s="25">
        <v>0</v>
      </c>
      <c r="AD31" s="25" cm="1">
        <f t="array" ref="AD31">SUMPRODUCT(--(VALUE(RIGHT($L$2:$T$7, LEN($L$2:$T$7) - FIND("°", SUBSTITUTE($L$2:$T$7, ",", "°", 2)))) = AA31)) / COUNTA($L$2:$T$7)</f>
        <v>0</v>
      </c>
    </row>
    <row r="32" spans="1:30" x14ac:dyDescent="0.45">
      <c r="A32" s="28"/>
      <c r="B32" s="45"/>
      <c r="C32" s="36"/>
      <c r="D32" s="36"/>
      <c r="E32" s="36"/>
      <c r="F32" s="36"/>
      <c r="G32" s="36"/>
      <c r="H32" s="36"/>
      <c r="K32" s="41"/>
      <c r="L32" s="25">
        <f>0.3</f>
        <v>0.3</v>
      </c>
      <c r="M32" s="25">
        <v>241</v>
      </c>
      <c r="N32" s="25">
        <v>195</v>
      </c>
      <c r="O32" s="25">
        <v>11</v>
      </c>
      <c r="P32" s="25">
        <v>80.602468014641801</v>
      </c>
      <c r="Q32" s="25">
        <v>2.4047856728456298</v>
      </c>
      <c r="R32">
        <v>81.009263330288505</v>
      </c>
      <c r="AA32" s="25">
        <v>29</v>
      </c>
      <c r="AB32" s="25" cm="1">
        <f t="array" ref="AB32">SUMPRODUCT(--(VALUE(LEFT($L$2:$T$7, FIND(",", $L$2:$T$7) - 1)) = AA32)) / COUNTA($L$2:$T$7)</f>
        <v>0</v>
      </c>
      <c r="AC32" s="25">
        <v>0</v>
      </c>
      <c r="AD32" s="25" cm="1">
        <f t="array" ref="AD32">SUMPRODUCT(--(VALUE(RIGHT($L$2:$T$7, LEN($L$2:$T$7) - FIND("°", SUBSTITUTE($L$2:$T$7, ",", "°", 2)))) = AA32)) / COUNTA($L$2:$T$7)</f>
        <v>0</v>
      </c>
    </row>
    <row r="33" spans="1:30" x14ac:dyDescent="0.45">
      <c r="AA33" s="25">
        <v>30</v>
      </c>
      <c r="AB33" s="25" cm="1">
        <f t="array" ref="AB33">SUMPRODUCT(--(VALUE(LEFT($L$2:$T$7, FIND(",", $L$2:$T$7) - 1)) = AA33)) / COUNTA($L$2:$T$7)</f>
        <v>0</v>
      </c>
      <c r="AC33" s="25">
        <v>0</v>
      </c>
      <c r="AD33" s="25" cm="1">
        <f t="array" ref="AD33">SUMPRODUCT(--(VALUE(RIGHT($L$2:$T$7, LEN($L$2:$T$7) - FIND("°", SUBSTITUTE($L$2:$T$7, ",", "°", 2)))) = AA33)) / COUNTA($L$2:$T$7)</f>
        <v>0</v>
      </c>
    </row>
    <row r="34" spans="1:30" x14ac:dyDescent="0.45">
      <c r="A34" s="28" t="s">
        <v>53</v>
      </c>
      <c r="B34" s="25"/>
      <c r="C34" s="46">
        <v>0.3</v>
      </c>
      <c r="D34" s="46"/>
      <c r="E34" s="47">
        <v>0.2</v>
      </c>
      <c r="F34" s="47"/>
      <c r="G34" s="48">
        <v>0.5</v>
      </c>
      <c r="H34" s="48"/>
      <c r="AA34" s="25">
        <v>31</v>
      </c>
      <c r="AB34" s="25" cm="1">
        <f t="array" ref="AB34">SUMPRODUCT(--(VALUE(LEFT($L$2:$T$7, FIND(",", $L$2:$T$7) - 1)) = AA34)) / COUNTA($L$2:$T$7)</f>
        <v>0</v>
      </c>
      <c r="AC34" s="25">
        <v>0</v>
      </c>
      <c r="AD34" s="25" cm="1">
        <f t="array" ref="AD34">SUMPRODUCT(--(VALUE(RIGHT($L$2:$T$7, LEN($L$2:$T$7) - FIND("°", SUBSTITUTE($L$2:$T$7, ",", "°", 2)))) = AA34)) / COUNTA($L$2:$T$7)</f>
        <v>0</v>
      </c>
    </row>
    <row r="35" spans="1:30" x14ac:dyDescent="0.45">
      <c r="A35" s="28"/>
      <c r="B35" s="43">
        <v>0.3</v>
      </c>
      <c r="C35" s="36">
        <v>0</v>
      </c>
      <c r="D35" s="36"/>
      <c r="E35" s="36">
        <v>0</v>
      </c>
      <c r="F35" s="36"/>
      <c r="G35" s="36">
        <v>0.3</v>
      </c>
      <c r="H35" s="36"/>
      <c r="L35"/>
      <c r="M35"/>
      <c r="N35"/>
      <c r="O35"/>
      <c r="P35"/>
      <c r="AA35" s="25">
        <v>32</v>
      </c>
      <c r="AB35" s="25" cm="1">
        <f t="array" ref="AB35">SUMPRODUCT(--(VALUE(LEFT($L$2:$T$7, FIND(",", $L$2:$T$7) - 1)) = AA35)) / COUNTA($L$2:$T$7)</f>
        <v>0</v>
      </c>
      <c r="AC35" s="25">
        <v>0</v>
      </c>
      <c r="AD35" s="25" cm="1">
        <f t="array" ref="AD35">SUMPRODUCT(--(VALUE(RIGHT($L$2:$T$7, LEN($L$2:$T$7) - FIND("°", SUBSTITUTE($L$2:$T$7, ",", "°", 2)))) = AA35)) / COUNTA($L$2:$T$7)</f>
        <v>0</v>
      </c>
    </row>
    <row r="36" spans="1:30" x14ac:dyDescent="0.45">
      <c r="A36" s="28"/>
      <c r="B36" s="43"/>
      <c r="C36" s="36"/>
      <c r="D36" s="36"/>
      <c r="E36" s="36"/>
      <c r="F36" s="36"/>
      <c r="G36" s="36"/>
      <c r="H36" s="36"/>
      <c r="L36"/>
      <c r="M36"/>
      <c r="N36"/>
      <c r="O36"/>
      <c r="P36"/>
      <c r="AA36" s="25">
        <v>33</v>
      </c>
      <c r="AB36" s="25" cm="1">
        <f t="array" ref="AB36">SUMPRODUCT(--(VALUE(LEFT($L$2:$T$7, FIND(",", $L$2:$T$7) - 1)) = AA36)) / COUNTA($L$2:$T$7)</f>
        <v>0</v>
      </c>
      <c r="AC36" s="25">
        <v>0</v>
      </c>
      <c r="AD36" s="25" cm="1">
        <f t="array" ref="AD36">SUMPRODUCT(--(VALUE(RIGHT($L$2:$T$7, LEN($L$2:$T$7) - FIND("°", SUBSTITUTE($L$2:$T$7, ",", "°", 2)))) = AA36)) / COUNTA($L$2:$T$7)</f>
        <v>0</v>
      </c>
    </row>
    <row r="37" spans="1:30" x14ac:dyDescent="0.45">
      <c r="A37" s="28"/>
      <c r="B37" s="44">
        <v>0.4</v>
      </c>
      <c r="C37" s="36">
        <v>0.3</v>
      </c>
      <c r="D37" s="36"/>
      <c r="E37" s="36">
        <v>0.1</v>
      </c>
      <c r="F37" s="36"/>
      <c r="G37" s="36">
        <v>0</v>
      </c>
      <c r="H37" s="36"/>
      <c r="L37"/>
      <c r="M37"/>
      <c r="N37"/>
      <c r="O37"/>
      <c r="P37"/>
      <c r="AA37" s="25">
        <v>34</v>
      </c>
      <c r="AB37" s="25" cm="1">
        <f t="array" ref="AB37">SUMPRODUCT(--(VALUE(LEFT($L$2:$T$7, FIND(",", $L$2:$T$7) - 1)) = AA37)) / COUNTA($L$2:$T$7)</f>
        <v>0</v>
      </c>
      <c r="AC37" s="25">
        <v>0</v>
      </c>
      <c r="AD37" s="25" cm="1">
        <f t="array" ref="AD37">SUMPRODUCT(--(VALUE(RIGHT($L$2:$T$7, LEN($L$2:$T$7) - FIND("°", SUBSTITUTE($L$2:$T$7, ",", "°", 2)))) = AA37)) / COUNTA($L$2:$T$7)</f>
        <v>0</v>
      </c>
    </row>
    <row r="38" spans="1:30" x14ac:dyDescent="0.45">
      <c r="A38" s="28"/>
      <c r="B38" s="44"/>
      <c r="C38" s="36"/>
      <c r="D38" s="36"/>
      <c r="E38" s="36"/>
      <c r="F38" s="36"/>
      <c r="G38" s="36"/>
      <c r="H38" s="36"/>
      <c r="L38"/>
      <c r="M38"/>
      <c r="N38"/>
      <c r="O38"/>
      <c r="P38"/>
      <c r="AA38" s="25">
        <v>35</v>
      </c>
      <c r="AB38" s="25" cm="1">
        <f t="array" ref="AB38">SUMPRODUCT(--(VALUE(LEFT($L$2:$T$7, FIND(",", $L$2:$T$7) - 1)) = AA38)) / COUNTA($L$2:$T$7)</f>
        <v>0</v>
      </c>
      <c r="AC38" s="25">
        <v>0</v>
      </c>
      <c r="AD38" s="25" cm="1">
        <f t="array" ref="AD38">SUMPRODUCT(--(VALUE(RIGHT($L$2:$T$7, LEN($L$2:$T$7) - FIND("°", SUBSTITUTE($L$2:$T$7, ",", "°", 2)))) = AA38)) / COUNTA($L$2:$T$7)</f>
        <v>0</v>
      </c>
    </row>
    <row r="39" spans="1:30" x14ac:dyDescent="0.45">
      <c r="A39" s="28"/>
      <c r="B39" s="45">
        <v>0.3</v>
      </c>
      <c r="C39" s="36">
        <v>0</v>
      </c>
      <c r="D39" s="36"/>
      <c r="E39" s="36">
        <v>0.1</v>
      </c>
      <c r="F39" s="36"/>
      <c r="G39" s="36">
        <v>0.2</v>
      </c>
      <c r="H39" s="36"/>
      <c r="L39"/>
      <c r="M39"/>
      <c r="N39"/>
      <c r="O39"/>
      <c r="P39"/>
      <c r="AA39" s="25">
        <v>36</v>
      </c>
      <c r="AB39" s="25" cm="1">
        <f t="array" ref="AB39">SUMPRODUCT(--(VALUE(LEFT($L$2:$T$7, FIND(",", $L$2:$T$7) - 1)) = AA39)) / COUNTA($L$2:$T$7)</f>
        <v>0</v>
      </c>
      <c r="AC39" s="25">
        <v>0</v>
      </c>
      <c r="AD39" s="25" cm="1">
        <f t="array" ref="AD39">SUMPRODUCT(--(VALUE(RIGHT($L$2:$T$7, LEN($L$2:$T$7) - FIND("°", SUBSTITUTE($L$2:$T$7, ",", "°", 2)))) = AA39)) / COUNTA($L$2:$T$7)</f>
        <v>0</v>
      </c>
    </row>
    <row r="40" spans="1:30" x14ac:dyDescent="0.45">
      <c r="A40" s="28"/>
      <c r="B40" s="45"/>
      <c r="C40" s="36"/>
      <c r="D40" s="36"/>
      <c r="E40" s="36"/>
      <c r="F40" s="36"/>
      <c r="G40" s="36"/>
      <c r="H40" s="36"/>
      <c r="L40"/>
      <c r="M40"/>
      <c r="N40"/>
      <c r="O40"/>
      <c r="P40"/>
      <c r="AA40" s="25">
        <v>37</v>
      </c>
      <c r="AB40" s="25" cm="1">
        <f t="array" ref="AB40">SUMPRODUCT(--(VALUE(LEFT($L$2:$T$7, FIND(",", $L$2:$T$7) - 1)) = AA40)) / COUNTA($L$2:$T$7)</f>
        <v>0</v>
      </c>
      <c r="AC40" s="25">
        <v>0</v>
      </c>
      <c r="AD40" s="25" cm="1">
        <f t="array" ref="AD40">SUMPRODUCT(--(VALUE(RIGHT($L$2:$T$7, LEN($L$2:$T$7) - FIND("°", SUBSTITUTE($L$2:$T$7, ",", "°", 2)))) = AA40)) / COUNTA($L$2:$T$7)</f>
        <v>0</v>
      </c>
    </row>
    <row r="41" spans="1:30" x14ac:dyDescent="0.45">
      <c r="AA41" s="25">
        <v>38</v>
      </c>
      <c r="AB41" s="25" cm="1">
        <f t="array" ref="AB41">SUMPRODUCT(--(VALUE(LEFT($L$2:$T$7, FIND(",", $L$2:$T$7) - 1)) = AA41)) / COUNTA($L$2:$T$7)</f>
        <v>0</v>
      </c>
      <c r="AC41" s="25">
        <v>0</v>
      </c>
      <c r="AD41" s="25" cm="1">
        <f t="array" ref="AD41">SUMPRODUCT(--(VALUE(RIGHT($L$2:$T$7, LEN($L$2:$T$7) - FIND("°", SUBSTITUTE($L$2:$T$7, ",", "°", 2)))) = AA41)) / COUNTA($L$2:$T$7)</f>
        <v>0</v>
      </c>
    </row>
    <row r="42" spans="1:30" x14ac:dyDescent="0.45">
      <c r="A42" s="24" t="s">
        <v>54</v>
      </c>
      <c r="C42" t="s">
        <v>55</v>
      </c>
      <c r="D42">
        <f>SUMPRODUCT(C35:H40, C27:H32)</f>
        <v>45.20627802542397</v>
      </c>
      <c r="AA42" s="25">
        <v>39</v>
      </c>
      <c r="AB42" s="25" cm="1">
        <f t="array" ref="AB42">SUMPRODUCT(--(VALUE(LEFT($L$2:$T$7, FIND(",", $L$2:$T$7) - 1)) = AA42)) / COUNTA($L$2:$T$7)</f>
        <v>0</v>
      </c>
      <c r="AC42" s="25">
        <v>0</v>
      </c>
      <c r="AD42" s="25" cm="1">
        <f t="array" ref="AD42">SUMPRODUCT(--(VALUE(RIGHT($L$2:$T$7, LEN($L$2:$T$7) - FIND("°", SUBSTITUTE($L$2:$T$7, ",", "°", 2)))) = AA42)) / COUNTA($L$2:$T$7)</f>
        <v>0</v>
      </c>
    </row>
    <row r="43" spans="1:30" x14ac:dyDescent="0.45">
      <c r="AA43" s="25">
        <v>40</v>
      </c>
      <c r="AB43" s="25" cm="1">
        <f t="array" ref="AB43">SUMPRODUCT(--(VALUE(LEFT($L$2:$T$7, FIND(",", $L$2:$T$7) - 1)) = AA43)) / COUNTA($L$2:$T$7)</f>
        <v>0</v>
      </c>
      <c r="AC43" s="25">
        <v>0</v>
      </c>
      <c r="AD43" s="25" cm="1">
        <f t="array" ref="AD43">SUMPRODUCT(--(VALUE(RIGHT($L$2:$T$7, LEN($L$2:$T$7) - FIND("°", SUBSTITUTE($L$2:$T$7, ",", "°", 2)))) = AA43)) / COUNTA($L$2:$T$7)</f>
        <v>0</v>
      </c>
    </row>
    <row r="44" spans="1:30" x14ac:dyDescent="0.45">
      <c r="AA44" s="25">
        <v>41</v>
      </c>
      <c r="AB44" s="25" cm="1">
        <f t="array" ref="AB44">SUMPRODUCT(--(VALUE(LEFT($L$2:$T$7, FIND(",", $L$2:$T$7) - 1)) = AA44)) / COUNTA($L$2:$T$7)</f>
        <v>0</v>
      </c>
      <c r="AC44" s="25">
        <v>0</v>
      </c>
      <c r="AD44" s="25" cm="1">
        <f t="array" ref="AD44">SUMPRODUCT(--(VALUE(RIGHT($L$2:$T$7, LEN($L$2:$T$7) - FIND("°", SUBSTITUTE($L$2:$T$7, ",", "°", 2)))) = AA44)) / COUNTA($L$2:$T$7)</f>
        <v>0</v>
      </c>
    </row>
    <row r="45" spans="1:30" x14ac:dyDescent="0.45">
      <c r="AA45" s="25">
        <v>42</v>
      </c>
      <c r="AB45" s="25" cm="1">
        <f t="array" ref="AB45">SUMPRODUCT(--(VALUE(LEFT($L$2:$T$7, FIND(",", $L$2:$T$7) - 1)) = AA45)) / COUNTA($L$2:$T$7)</f>
        <v>0</v>
      </c>
      <c r="AC45" s="25">
        <v>0</v>
      </c>
      <c r="AD45" s="25" cm="1">
        <f t="array" ref="AD45">SUMPRODUCT(--(VALUE(RIGHT($L$2:$T$7, LEN($L$2:$T$7) - FIND("°", SUBSTITUTE($L$2:$T$7, ",", "°", 2)))) = AA45)) / COUNTA($L$2:$T$7)</f>
        <v>0</v>
      </c>
    </row>
    <row r="46" spans="1:30" x14ac:dyDescent="0.45">
      <c r="AA46" s="25">
        <v>43</v>
      </c>
      <c r="AB46" s="25" cm="1">
        <f t="array" ref="AB46">SUMPRODUCT(--(VALUE(LEFT($L$2:$T$7, FIND(",", $L$2:$T$7) - 1)) = AA46)) / COUNTA($L$2:$T$7)</f>
        <v>0</v>
      </c>
      <c r="AC46" s="25">
        <v>0</v>
      </c>
      <c r="AD46" s="25" cm="1">
        <f t="array" ref="AD46">SUMPRODUCT(--(VALUE(RIGHT($L$2:$T$7, LEN($L$2:$T$7) - FIND("°", SUBSTITUTE($L$2:$T$7, ",", "°", 2)))) = AA46)) / COUNTA($L$2:$T$7)</f>
        <v>0</v>
      </c>
    </row>
    <row r="47" spans="1:30" x14ac:dyDescent="0.45">
      <c r="AA47" s="25">
        <v>44</v>
      </c>
      <c r="AB47" s="25" cm="1">
        <f t="array" ref="AB47">SUMPRODUCT(--(VALUE(LEFT($L$2:$T$7, FIND(",", $L$2:$T$7) - 1)) = AA47)) / COUNTA($L$2:$T$7)</f>
        <v>0</v>
      </c>
      <c r="AC47" s="25">
        <v>0</v>
      </c>
      <c r="AD47" s="25" cm="1">
        <f t="array" ref="AD47">SUMPRODUCT(--(VALUE(RIGHT($L$2:$T$7, LEN($L$2:$T$7) - FIND("°", SUBSTITUTE($L$2:$T$7, ",", "°", 2)))) = AA47)) / COUNTA($L$2:$T$7)</f>
        <v>0</v>
      </c>
    </row>
    <row r="48" spans="1:30" x14ac:dyDescent="0.45">
      <c r="AA48" s="25">
        <v>45</v>
      </c>
      <c r="AB48" s="25" cm="1">
        <f t="array" ref="AB48">SUMPRODUCT(--(VALUE(LEFT($L$2:$T$7, FIND(",", $L$2:$T$7) - 1)) = AA48)) / COUNTA($L$2:$T$7)</f>
        <v>0</v>
      </c>
      <c r="AC48" s="25">
        <v>0</v>
      </c>
      <c r="AD48" s="25" cm="1">
        <f t="array" ref="AD48">SUMPRODUCT(--(VALUE(RIGHT($L$2:$T$7, LEN($L$2:$T$7) - FIND("°", SUBSTITUTE($L$2:$T$7, ",", "°", 2)))) = AA48)) / COUNTA($L$2:$T$7)</f>
        <v>0</v>
      </c>
    </row>
    <row r="49" spans="27:30" x14ac:dyDescent="0.45">
      <c r="AA49" s="25">
        <v>46</v>
      </c>
      <c r="AB49" s="25" cm="1">
        <f t="array" ref="AB49">SUMPRODUCT(--(VALUE(LEFT($L$2:$T$7, FIND(",", $L$2:$T$7) - 1)) = AA49)) / COUNTA($L$2:$T$7)</f>
        <v>0</v>
      </c>
      <c r="AC49" s="25">
        <v>0</v>
      </c>
      <c r="AD49" s="25" cm="1">
        <f t="array" ref="AD49">SUMPRODUCT(--(VALUE(RIGHT($L$2:$T$7, LEN($L$2:$T$7) - FIND("°", SUBSTITUTE($L$2:$T$7, ",", "°", 2)))) = AA49)) / COUNTA($L$2:$T$7)</f>
        <v>0</v>
      </c>
    </row>
    <row r="50" spans="27:30" x14ac:dyDescent="0.45">
      <c r="AA50" s="25">
        <v>47</v>
      </c>
      <c r="AB50" s="25" cm="1">
        <f t="array" ref="AB50">SUMPRODUCT(--(VALUE(LEFT($L$2:$T$7, FIND(",", $L$2:$T$7) - 1)) = AA50)) / COUNTA($L$2:$T$7)</f>
        <v>0</v>
      </c>
      <c r="AC50" s="25">
        <v>0</v>
      </c>
      <c r="AD50" s="25" cm="1">
        <f t="array" ref="AD50">SUMPRODUCT(--(VALUE(RIGHT($L$2:$T$7, LEN($L$2:$T$7) - FIND("°", SUBSTITUTE($L$2:$T$7, ",", "°", 2)))) = AA50)) / COUNTA($L$2:$T$7)</f>
        <v>0</v>
      </c>
    </row>
    <row r="51" spans="27:30" x14ac:dyDescent="0.45">
      <c r="AA51" s="25">
        <v>48</v>
      </c>
      <c r="AB51" s="25" cm="1">
        <f t="array" ref="AB51">SUMPRODUCT(--(VALUE(LEFT($L$2:$T$7, FIND(",", $L$2:$T$7) - 1)) = AA51)) / COUNTA($L$2:$T$7)</f>
        <v>0</v>
      </c>
      <c r="AC51" s="25">
        <v>0</v>
      </c>
      <c r="AD51" s="25" cm="1">
        <f t="array" ref="AD51">SUMPRODUCT(--(VALUE(RIGHT($L$2:$T$7, LEN($L$2:$T$7) - FIND("°", SUBSTITUTE($L$2:$T$7, ",", "°", 2)))) = AA51)) / COUNTA($L$2:$T$7)</f>
        <v>0</v>
      </c>
    </row>
    <row r="52" spans="27:30" x14ac:dyDescent="0.45">
      <c r="AA52" s="25">
        <v>49</v>
      </c>
      <c r="AB52" s="25" cm="1">
        <f t="array" ref="AB52">SUMPRODUCT(--(VALUE(LEFT($L$2:$T$7, FIND(",", $L$2:$T$7) - 1)) = AA52)) / COUNTA($L$2:$T$7)</f>
        <v>0</v>
      </c>
      <c r="AC52" s="25">
        <v>0</v>
      </c>
      <c r="AD52" s="25" cm="1">
        <f t="array" ref="AD52">SUMPRODUCT(--(VALUE(RIGHT($L$2:$T$7, LEN($L$2:$T$7) - FIND("°", SUBSTITUTE($L$2:$T$7, ",", "°", 2)))) = AA52)) / COUNTA($L$2:$T$7)</f>
        <v>0</v>
      </c>
    </row>
    <row r="53" spans="27:30" x14ac:dyDescent="0.45">
      <c r="AA53" s="25">
        <v>50</v>
      </c>
      <c r="AB53" s="25" cm="1">
        <f t="array" ref="AB53">SUMPRODUCT(--(VALUE(LEFT($L$2:$T$7, FIND(",", $L$2:$T$7) - 1)) = AA53)) / COUNTA($L$2:$T$7)</f>
        <v>0</v>
      </c>
      <c r="AC53" s="25">
        <v>0</v>
      </c>
      <c r="AD53" s="25" cm="1">
        <f t="array" ref="AD53">SUMPRODUCT(--(VALUE(RIGHT($L$2:$T$7, LEN($L$2:$T$7) - FIND("°", SUBSTITUTE($L$2:$T$7, ",", "°", 2)))) = AA53)) / COUNTA($L$2:$T$7)</f>
        <v>0</v>
      </c>
    </row>
    <row r="54" spans="27:30" x14ac:dyDescent="0.45">
      <c r="AA54" s="25">
        <v>51</v>
      </c>
      <c r="AB54" s="25" cm="1">
        <f t="array" ref="AB54">SUMPRODUCT(--(VALUE(LEFT($L$2:$T$7, FIND(",", $L$2:$T$7) - 1)) = AA54)) / COUNTA($L$2:$T$7)</f>
        <v>0</v>
      </c>
      <c r="AC54" s="25">
        <v>0</v>
      </c>
      <c r="AD54" s="25" cm="1">
        <f t="array" ref="AD54">SUMPRODUCT(--(VALUE(RIGHT($L$2:$T$7, LEN($L$2:$T$7) - FIND("°", SUBSTITUTE($L$2:$T$7, ",", "°", 2)))) = AA54)) / COUNTA($L$2:$T$7)</f>
        <v>0</v>
      </c>
    </row>
    <row r="55" spans="27:30" x14ac:dyDescent="0.45">
      <c r="AA55" s="25">
        <v>52</v>
      </c>
      <c r="AB55" s="25" cm="1">
        <f t="array" ref="AB55">SUMPRODUCT(--(VALUE(LEFT($L$2:$T$7, FIND(",", $L$2:$T$7) - 1)) = AA55)) / COUNTA($L$2:$T$7)</f>
        <v>0</v>
      </c>
      <c r="AC55" s="25">
        <v>0</v>
      </c>
      <c r="AD55" s="25" cm="1">
        <f t="array" ref="AD55">SUMPRODUCT(--(VALUE(RIGHT($L$2:$T$7, LEN($L$2:$T$7) - FIND("°", SUBSTITUTE($L$2:$T$7, ",", "°", 2)))) = AA55)) / COUNTA($L$2:$T$7)</f>
        <v>0</v>
      </c>
    </row>
    <row r="56" spans="27:30" x14ac:dyDescent="0.45">
      <c r="AA56" s="25">
        <v>53</v>
      </c>
      <c r="AB56" s="25" cm="1">
        <f t="array" ref="AB56">SUMPRODUCT(--(VALUE(LEFT($L$2:$T$7, FIND(",", $L$2:$T$7) - 1)) = AA56)) / COUNTA($L$2:$T$7)</f>
        <v>0</v>
      </c>
      <c r="AC56" s="25">
        <v>0</v>
      </c>
      <c r="AD56" s="25" cm="1">
        <f t="array" ref="AD56">SUMPRODUCT(--(VALUE(RIGHT($L$2:$T$7, LEN($L$2:$T$7) - FIND("°", SUBSTITUTE($L$2:$T$7, ",", "°", 2)))) = AA56)) / COUNTA($L$2:$T$7)</f>
        <v>0</v>
      </c>
    </row>
    <row r="57" spans="27:30" x14ac:dyDescent="0.45">
      <c r="AA57" s="25">
        <v>54</v>
      </c>
      <c r="AB57" s="25" cm="1">
        <f t="array" ref="AB57">SUMPRODUCT(--(VALUE(LEFT($L$2:$T$7, FIND(",", $L$2:$T$7) - 1)) = AA57)) / COUNTA($L$2:$T$7)</f>
        <v>0</v>
      </c>
      <c r="AC57" s="25">
        <v>0</v>
      </c>
      <c r="AD57" s="25" cm="1">
        <f t="array" ref="AD57">SUMPRODUCT(--(VALUE(RIGHT($L$2:$T$7, LEN($L$2:$T$7) - FIND("°", SUBSTITUTE($L$2:$T$7, ",", "°", 2)))) = AA57)) / COUNTA($L$2:$T$7)</f>
        <v>0</v>
      </c>
    </row>
    <row r="58" spans="27:30" x14ac:dyDescent="0.45">
      <c r="AA58" s="25">
        <v>55</v>
      </c>
      <c r="AB58" s="25" cm="1">
        <f t="array" ref="AB58">SUMPRODUCT(--(VALUE(LEFT($L$2:$T$7, FIND(",", $L$2:$T$7) - 1)) = AA58)) / COUNTA($L$2:$T$7)</f>
        <v>0</v>
      </c>
      <c r="AC58" s="25">
        <v>0</v>
      </c>
      <c r="AD58" s="25" cm="1">
        <f t="array" ref="AD58">SUMPRODUCT(--(VALUE(RIGHT($L$2:$T$7, LEN($L$2:$T$7) - FIND("°", SUBSTITUTE($L$2:$T$7, ",", "°", 2)))) = AA58)) / COUNTA($L$2:$T$7)</f>
        <v>0</v>
      </c>
    </row>
    <row r="59" spans="27:30" x14ac:dyDescent="0.45">
      <c r="AA59" s="25">
        <v>56</v>
      </c>
      <c r="AB59" s="25" cm="1">
        <f t="array" ref="AB59">SUMPRODUCT(--(VALUE(LEFT($L$2:$T$7, FIND(",", $L$2:$T$7) - 1)) = AA59)) / COUNTA($L$2:$T$7)</f>
        <v>0</v>
      </c>
      <c r="AC59" s="25">
        <v>0</v>
      </c>
      <c r="AD59" s="25" cm="1">
        <f t="array" ref="AD59">SUMPRODUCT(--(VALUE(RIGHT($L$2:$T$7, LEN($L$2:$T$7) - FIND("°", SUBSTITUTE($L$2:$T$7, ",", "°", 2)))) = AA59)) / COUNTA($L$2:$T$7)</f>
        <v>0</v>
      </c>
    </row>
    <row r="60" spans="27:30" x14ac:dyDescent="0.45">
      <c r="AA60" s="25">
        <v>57</v>
      </c>
      <c r="AB60" s="25" cm="1">
        <f t="array" ref="AB60">SUMPRODUCT(--(VALUE(LEFT($L$2:$T$7, FIND(",", $L$2:$T$7) - 1)) = AA60)) / COUNTA($L$2:$T$7)</f>
        <v>0</v>
      </c>
      <c r="AC60" s="25">
        <v>0</v>
      </c>
      <c r="AD60" s="25" cm="1">
        <f t="array" ref="AD60">SUMPRODUCT(--(VALUE(RIGHT($L$2:$T$7, LEN($L$2:$T$7) - FIND("°", SUBSTITUTE($L$2:$T$7, ",", "°", 2)))) = AA60)) / COUNTA($L$2:$T$7)</f>
        <v>0</v>
      </c>
    </row>
    <row r="61" spans="27:30" x14ac:dyDescent="0.45">
      <c r="AA61" s="25">
        <v>58</v>
      </c>
      <c r="AB61" s="25" cm="1">
        <f t="array" ref="AB61">SUMPRODUCT(--(VALUE(LEFT($L$2:$T$7, FIND(",", $L$2:$T$7) - 1)) = AA61)) / COUNTA($L$2:$T$7)</f>
        <v>0</v>
      </c>
      <c r="AC61" s="25">
        <v>0</v>
      </c>
      <c r="AD61" s="25" cm="1">
        <f t="array" ref="AD61">SUMPRODUCT(--(VALUE(RIGHT($L$2:$T$7, LEN($L$2:$T$7) - FIND("°", SUBSTITUTE($L$2:$T$7, ",", "°", 2)))) = AA61)) / COUNTA($L$2:$T$7)</f>
        <v>0</v>
      </c>
    </row>
    <row r="62" spans="27:30" x14ac:dyDescent="0.45">
      <c r="AA62" s="25">
        <v>59</v>
      </c>
      <c r="AB62" s="25" cm="1">
        <f t="array" ref="AB62">SUMPRODUCT(--(VALUE(LEFT($L$2:$T$7, FIND(",", $L$2:$T$7) - 1)) = AA62)) / COUNTA($L$2:$T$7)</f>
        <v>0</v>
      </c>
      <c r="AC62" s="25">
        <v>0</v>
      </c>
      <c r="AD62" s="25" cm="1">
        <f t="array" ref="AD62">SUMPRODUCT(--(VALUE(RIGHT($L$2:$T$7, LEN($L$2:$T$7) - FIND("°", SUBSTITUTE($L$2:$T$7, ",", "°", 2)))) = AA62)) / COUNTA($L$2:$T$7)</f>
        <v>0</v>
      </c>
    </row>
    <row r="63" spans="27:30" x14ac:dyDescent="0.45">
      <c r="AA63" s="25">
        <v>60</v>
      </c>
      <c r="AB63" s="25" cm="1">
        <f t="array" ref="AB63">SUMPRODUCT(--(VALUE(LEFT($L$2:$T$7, FIND(",", $L$2:$T$7) - 1)) = AA63)) / COUNTA($L$2:$T$7)</f>
        <v>0</v>
      </c>
      <c r="AC63" s="25">
        <v>0</v>
      </c>
      <c r="AD63" s="25" cm="1">
        <f t="array" ref="AD63">SUMPRODUCT(--(VALUE(RIGHT($L$2:$T$7, LEN($L$2:$T$7) - FIND("°", SUBSTITUTE($L$2:$T$7, ",", "°", 2)))) = AA63)) / COUNTA($L$2:$T$7)</f>
        <v>0</v>
      </c>
    </row>
    <row r="64" spans="27:30" x14ac:dyDescent="0.45">
      <c r="AA64" s="25">
        <v>61</v>
      </c>
      <c r="AB64" s="25" cm="1">
        <f t="array" ref="AB64">SUMPRODUCT(--(VALUE(LEFT($L$2:$T$7, FIND(",", $L$2:$T$7) - 1)) = AA64)) / COUNTA($L$2:$T$7)</f>
        <v>0</v>
      </c>
      <c r="AC64" s="25">
        <v>0</v>
      </c>
      <c r="AD64" s="25" cm="1">
        <f t="array" ref="AD64">SUMPRODUCT(--(VALUE(RIGHT($L$2:$T$7, LEN($L$2:$T$7) - FIND("°", SUBSTITUTE($L$2:$T$7, ",", "°", 2)))) = AA64)) / COUNTA($L$2:$T$7)</f>
        <v>0</v>
      </c>
    </row>
    <row r="65" spans="27:30" x14ac:dyDescent="0.45">
      <c r="AA65" s="25">
        <v>62</v>
      </c>
      <c r="AB65" s="25" cm="1">
        <f t="array" ref="AB65">SUMPRODUCT(--(VALUE(LEFT($L$2:$T$7, FIND(",", $L$2:$T$7) - 1)) = AA65)) / COUNTA($L$2:$T$7)</f>
        <v>0</v>
      </c>
      <c r="AC65" s="25">
        <v>0</v>
      </c>
      <c r="AD65" s="25" cm="1">
        <f t="array" ref="AD65">SUMPRODUCT(--(VALUE(RIGHT($L$2:$T$7, LEN($L$2:$T$7) - FIND("°", SUBSTITUTE($L$2:$T$7, ",", "°", 2)))) = AA65)) / COUNTA($L$2:$T$7)</f>
        <v>0</v>
      </c>
    </row>
    <row r="66" spans="27:30" x14ac:dyDescent="0.45">
      <c r="AA66" s="25">
        <v>63</v>
      </c>
      <c r="AB66" s="25" cm="1">
        <f t="array" ref="AB66">SUMPRODUCT(--(VALUE(LEFT($L$2:$T$7, FIND(",", $L$2:$T$7) - 1)) = AA66)) / COUNTA($L$2:$T$7)</f>
        <v>0</v>
      </c>
      <c r="AC66" s="25">
        <v>0</v>
      </c>
      <c r="AD66" s="25" cm="1">
        <f t="array" ref="AD66">SUMPRODUCT(--(VALUE(RIGHT($L$2:$T$7, LEN($L$2:$T$7) - FIND("°", SUBSTITUTE($L$2:$T$7, ",", "°", 2)))) = AA66)) / COUNTA($L$2:$T$7)</f>
        <v>0</v>
      </c>
    </row>
    <row r="67" spans="27:30" x14ac:dyDescent="0.45">
      <c r="AA67" s="25">
        <v>64</v>
      </c>
      <c r="AB67" s="25" cm="1">
        <f t="array" ref="AB67">SUMPRODUCT(--(VALUE(LEFT($L$2:$T$7, FIND(",", $L$2:$T$7) - 1)) = AA67)) / COUNTA($L$2:$T$7)</f>
        <v>0</v>
      </c>
      <c r="AC67" s="25">
        <v>0</v>
      </c>
      <c r="AD67" s="25" cm="1">
        <f t="array" ref="AD67">SUMPRODUCT(--(VALUE(RIGHT($L$2:$T$7, LEN($L$2:$T$7) - FIND("°", SUBSTITUTE($L$2:$T$7, ",", "°", 2)))) = AA67)) / COUNTA($L$2:$T$7)</f>
        <v>0</v>
      </c>
    </row>
    <row r="68" spans="27:30" x14ac:dyDescent="0.45">
      <c r="AA68" s="25">
        <v>65</v>
      </c>
      <c r="AB68" s="25" cm="1">
        <f t="array" ref="AB68">SUMPRODUCT(--(VALUE(LEFT($L$2:$T$7, FIND(",", $L$2:$T$7) - 1)) = AA68)) / COUNTA($L$2:$T$7)</f>
        <v>0</v>
      </c>
      <c r="AC68" s="25">
        <v>0</v>
      </c>
      <c r="AD68" s="25" cm="1">
        <f t="array" ref="AD68">SUMPRODUCT(--(VALUE(RIGHT($L$2:$T$7, LEN($L$2:$T$7) - FIND("°", SUBSTITUTE($L$2:$T$7, ",", "°", 2)))) = AA68)) / COUNTA($L$2:$T$7)</f>
        <v>0</v>
      </c>
    </row>
    <row r="69" spans="27:30" x14ac:dyDescent="0.45">
      <c r="AA69" s="25">
        <v>66</v>
      </c>
      <c r="AB69" s="25" cm="1">
        <f t="array" ref="AB69">SUMPRODUCT(--(VALUE(LEFT($L$2:$T$7, FIND(",", $L$2:$T$7) - 1)) = AA69)) / COUNTA($L$2:$T$7)</f>
        <v>0</v>
      </c>
      <c r="AC69" s="25">
        <v>0</v>
      </c>
      <c r="AD69" s="25" cm="1">
        <f t="array" ref="AD69">SUMPRODUCT(--(VALUE(RIGHT($L$2:$T$7, LEN($L$2:$T$7) - FIND("°", SUBSTITUTE($L$2:$T$7, ",", "°", 2)))) = AA69)) / COUNTA($L$2:$T$7)</f>
        <v>0</v>
      </c>
    </row>
    <row r="70" spans="27:30" x14ac:dyDescent="0.45">
      <c r="AA70" s="25">
        <v>67</v>
      </c>
      <c r="AB70" s="25" cm="1">
        <f t="array" ref="AB70">SUMPRODUCT(--(VALUE(LEFT($L$2:$T$7, FIND(",", $L$2:$T$7) - 1)) = AA70)) / COUNTA($L$2:$T$7)</f>
        <v>0</v>
      </c>
      <c r="AC70" s="25">
        <v>0</v>
      </c>
      <c r="AD70" s="25" cm="1">
        <f t="array" ref="AD70">SUMPRODUCT(--(VALUE(RIGHT($L$2:$T$7, LEN($L$2:$T$7) - FIND("°", SUBSTITUTE($L$2:$T$7, ",", "°", 2)))) = AA70)) / COUNTA($L$2:$T$7)</f>
        <v>0</v>
      </c>
    </row>
    <row r="71" spans="27:30" x14ac:dyDescent="0.45">
      <c r="AA71" s="25">
        <v>68</v>
      </c>
      <c r="AB71" s="25" cm="1">
        <f t="array" ref="AB71">SUMPRODUCT(--(VALUE(LEFT($L$2:$T$7, FIND(",", $L$2:$T$7) - 1)) = AA71)) / COUNTA($L$2:$T$7)</f>
        <v>0</v>
      </c>
      <c r="AC71" s="25">
        <v>0</v>
      </c>
      <c r="AD71" s="25" cm="1">
        <f t="array" ref="AD71">SUMPRODUCT(--(VALUE(RIGHT($L$2:$T$7, LEN($L$2:$T$7) - FIND("°", SUBSTITUTE($L$2:$T$7, ",", "°", 2)))) = AA71)) / COUNTA($L$2:$T$7)</f>
        <v>0</v>
      </c>
    </row>
    <row r="72" spans="27:30" x14ac:dyDescent="0.45">
      <c r="AA72" s="25">
        <v>69</v>
      </c>
      <c r="AB72" s="25" cm="1">
        <f t="array" ref="AB72">SUMPRODUCT(--(VALUE(LEFT($L$2:$T$7, FIND(",", $L$2:$T$7) - 1)) = AA72)) / COUNTA($L$2:$T$7)</f>
        <v>0</v>
      </c>
      <c r="AC72" s="25">
        <v>0</v>
      </c>
      <c r="AD72" s="25" cm="1">
        <f t="array" ref="AD72">SUMPRODUCT(--(VALUE(RIGHT($L$2:$T$7, LEN($L$2:$T$7) - FIND("°", SUBSTITUTE($L$2:$T$7, ",", "°", 2)))) = AA72)) / COUNTA($L$2:$T$7)</f>
        <v>0</v>
      </c>
    </row>
    <row r="73" spans="27:30" x14ac:dyDescent="0.45">
      <c r="AA73" s="25">
        <v>70</v>
      </c>
      <c r="AB73" s="25" cm="1">
        <f t="array" ref="AB73">SUMPRODUCT(--(VALUE(LEFT($L$2:$T$7, FIND(",", $L$2:$T$7) - 1)) = AA73)) / COUNTA($L$2:$T$7)</f>
        <v>0</v>
      </c>
      <c r="AC73" s="25">
        <v>0</v>
      </c>
      <c r="AD73" s="25" cm="1">
        <f t="array" ref="AD73">SUMPRODUCT(--(VALUE(RIGHT($L$2:$T$7, LEN($L$2:$T$7) - FIND("°", SUBSTITUTE($L$2:$T$7, ",", "°", 2)))) = AA73)) / COUNTA($L$2:$T$7)</f>
        <v>0</v>
      </c>
    </row>
    <row r="74" spans="27:30" x14ac:dyDescent="0.45">
      <c r="AA74" s="25">
        <v>71</v>
      </c>
      <c r="AB74" s="25" cm="1">
        <f t="array" ref="AB74">SUMPRODUCT(--(VALUE(LEFT($L$2:$T$7, FIND(",", $L$2:$T$7) - 1)) = AA74)) / COUNTA($L$2:$T$7)</f>
        <v>0</v>
      </c>
      <c r="AC74" s="25">
        <v>0</v>
      </c>
      <c r="AD74" s="25" cm="1">
        <f t="array" ref="AD74">SUMPRODUCT(--(VALUE(RIGHT($L$2:$T$7, LEN($L$2:$T$7) - FIND("°", SUBSTITUTE($L$2:$T$7, ",", "°", 2)))) = AA74)) / COUNTA($L$2:$T$7)</f>
        <v>0</v>
      </c>
    </row>
    <row r="75" spans="27:30" x14ac:dyDescent="0.45">
      <c r="AA75" s="25">
        <v>72</v>
      </c>
      <c r="AB75" s="25" cm="1">
        <f t="array" ref="AB75">SUMPRODUCT(--(VALUE(LEFT($L$2:$T$7, FIND(",", $L$2:$T$7) - 1)) = AA75)) / COUNTA($L$2:$T$7)</f>
        <v>0</v>
      </c>
      <c r="AC75" s="25">
        <v>0</v>
      </c>
      <c r="AD75" s="25" cm="1">
        <f t="array" ref="AD75">SUMPRODUCT(--(VALUE(RIGHT($L$2:$T$7, LEN($L$2:$T$7) - FIND("°", SUBSTITUTE($L$2:$T$7, ",", "°", 2)))) = AA75)) / COUNTA($L$2:$T$7)</f>
        <v>0</v>
      </c>
    </row>
    <row r="76" spans="27:30" x14ac:dyDescent="0.45">
      <c r="AA76" s="25">
        <v>73</v>
      </c>
      <c r="AB76" s="25" cm="1">
        <f t="array" ref="AB76">SUMPRODUCT(--(VALUE(LEFT($L$2:$T$7, FIND(",", $L$2:$T$7) - 1)) = AA76)) / COUNTA($L$2:$T$7)</f>
        <v>0</v>
      </c>
      <c r="AC76" s="25">
        <v>0</v>
      </c>
      <c r="AD76" s="25" cm="1">
        <f t="array" ref="AD76">SUMPRODUCT(--(VALUE(RIGHT($L$2:$T$7, LEN($L$2:$T$7) - FIND("°", SUBSTITUTE($L$2:$T$7, ",", "°", 2)))) = AA76)) / COUNTA($L$2:$T$7)</f>
        <v>0</v>
      </c>
    </row>
    <row r="77" spans="27:30" x14ac:dyDescent="0.45">
      <c r="AA77" s="25">
        <v>74</v>
      </c>
      <c r="AB77" s="25" cm="1">
        <f t="array" ref="AB77">SUMPRODUCT(--(VALUE(LEFT($L$2:$T$7, FIND(",", $L$2:$T$7) - 1)) = AA77)) / COUNTA($L$2:$T$7)</f>
        <v>0</v>
      </c>
      <c r="AC77" s="25">
        <v>0</v>
      </c>
      <c r="AD77" s="25" cm="1">
        <f t="array" ref="AD77">SUMPRODUCT(--(VALUE(RIGHT($L$2:$T$7, LEN($L$2:$T$7) - FIND("°", SUBSTITUTE($L$2:$T$7, ",", "°", 2)))) = AA77)) / COUNTA($L$2:$T$7)</f>
        <v>0</v>
      </c>
    </row>
    <row r="78" spans="27:30" x14ac:dyDescent="0.45">
      <c r="AA78" s="25">
        <v>75</v>
      </c>
      <c r="AB78" s="25" cm="1">
        <f t="array" ref="AB78">SUMPRODUCT(--(VALUE(LEFT($L$2:$T$7, FIND(",", $L$2:$T$7) - 1)) = AA78)) / COUNTA($L$2:$T$7)</f>
        <v>0</v>
      </c>
      <c r="AC78" s="25">
        <v>0</v>
      </c>
      <c r="AD78" s="25" cm="1">
        <f t="array" ref="AD78">SUMPRODUCT(--(VALUE(RIGHT($L$2:$T$7, LEN($L$2:$T$7) - FIND("°", SUBSTITUTE($L$2:$T$7, ",", "°", 2)))) = AA78)) / COUNTA($L$2:$T$7)</f>
        <v>0</v>
      </c>
    </row>
    <row r="79" spans="27:30" x14ac:dyDescent="0.45">
      <c r="AA79" s="25">
        <v>76</v>
      </c>
      <c r="AB79" s="25" cm="1">
        <f t="array" ref="AB79">SUMPRODUCT(--(VALUE(LEFT($L$2:$T$7, FIND(",", $L$2:$T$7) - 1)) = AA79)) / COUNTA($L$2:$T$7)</f>
        <v>0</v>
      </c>
      <c r="AC79" s="25">
        <v>0</v>
      </c>
      <c r="AD79" s="25" cm="1">
        <f t="array" ref="AD79">SUMPRODUCT(--(VALUE(RIGHT($L$2:$T$7, LEN($L$2:$T$7) - FIND("°", SUBSTITUTE($L$2:$T$7, ",", "°", 2)))) = AA79)) / COUNTA($L$2:$T$7)</f>
        <v>0</v>
      </c>
    </row>
    <row r="80" spans="27:30" x14ac:dyDescent="0.45">
      <c r="AA80" s="25">
        <v>77</v>
      </c>
      <c r="AB80" s="25" cm="1">
        <f t="array" ref="AB80">SUMPRODUCT(--(VALUE(LEFT($L$2:$T$7, FIND(",", $L$2:$T$7) - 1)) = AA80)) / COUNTA($L$2:$T$7)</f>
        <v>0</v>
      </c>
      <c r="AC80" s="25">
        <v>0</v>
      </c>
      <c r="AD80" s="25" cm="1">
        <f t="array" ref="AD80">SUMPRODUCT(--(VALUE(RIGHT($L$2:$T$7, LEN($L$2:$T$7) - FIND("°", SUBSTITUTE($L$2:$T$7, ",", "°", 2)))) = AA80)) / COUNTA($L$2:$T$7)</f>
        <v>0</v>
      </c>
    </row>
    <row r="81" spans="27:30" x14ac:dyDescent="0.45">
      <c r="AA81" s="25">
        <v>78</v>
      </c>
      <c r="AB81" s="25" cm="1">
        <f t="array" ref="AB81">SUMPRODUCT(--(VALUE(LEFT($L$2:$T$7, FIND(",", $L$2:$T$7) - 1)) = AA81)) / COUNTA($L$2:$T$7)</f>
        <v>0</v>
      </c>
      <c r="AC81" s="25">
        <v>0</v>
      </c>
      <c r="AD81" s="25" cm="1">
        <f t="array" ref="AD81">SUMPRODUCT(--(VALUE(RIGHT($L$2:$T$7, LEN($L$2:$T$7) - FIND("°", SUBSTITUTE($L$2:$T$7, ",", "°", 2)))) = AA81)) / COUNTA($L$2:$T$7)</f>
        <v>0</v>
      </c>
    </row>
    <row r="82" spans="27:30" x14ac:dyDescent="0.45">
      <c r="AA82" s="25">
        <v>79</v>
      </c>
      <c r="AB82" s="25" cm="1">
        <f t="array" ref="AB82">SUMPRODUCT(--(VALUE(LEFT($L$2:$T$7, FIND(",", $L$2:$T$7) - 1)) = AA82)) / COUNTA($L$2:$T$7)</f>
        <v>0</v>
      </c>
      <c r="AC82" s="25">
        <v>0</v>
      </c>
      <c r="AD82" s="25" cm="1">
        <f t="array" ref="AD82">SUMPRODUCT(--(VALUE(RIGHT($L$2:$T$7, LEN($L$2:$T$7) - FIND("°", SUBSTITUTE($L$2:$T$7, ",", "°", 2)))) = AA82)) / COUNTA($L$2:$T$7)</f>
        <v>0</v>
      </c>
    </row>
    <row r="83" spans="27:30" x14ac:dyDescent="0.45">
      <c r="AA83" s="25">
        <v>80</v>
      </c>
      <c r="AB83" s="25" cm="1">
        <f t="array" ref="AB83">SUMPRODUCT(--(VALUE(LEFT($L$2:$T$7, FIND(",", $L$2:$T$7) - 1)) = AA83)) / COUNTA($L$2:$T$7)</f>
        <v>0</v>
      </c>
      <c r="AC83" s="25">
        <v>0</v>
      </c>
      <c r="AD83" s="25" cm="1">
        <f t="array" ref="AD83">SUMPRODUCT(--(VALUE(RIGHT($L$2:$T$7, LEN($L$2:$T$7) - FIND("°", SUBSTITUTE($L$2:$T$7, ",", "°", 2)))) = AA83)) / COUNTA($L$2:$T$7)</f>
        <v>0</v>
      </c>
    </row>
    <row r="84" spans="27:30" x14ac:dyDescent="0.45">
      <c r="AA84" s="25">
        <v>81</v>
      </c>
      <c r="AB84" s="25" cm="1">
        <f t="array" ref="AB84">SUMPRODUCT(--(VALUE(LEFT($L$2:$T$7, FIND(",", $L$2:$T$7) - 1)) = AA84)) / COUNTA($L$2:$T$7)</f>
        <v>0</v>
      </c>
      <c r="AC84" s="25">
        <v>0</v>
      </c>
      <c r="AD84" s="25" cm="1">
        <f t="array" ref="AD84">SUMPRODUCT(--(VALUE(RIGHT($L$2:$T$7, LEN($L$2:$T$7) - FIND("°", SUBSTITUTE($L$2:$T$7, ",", "°", 2)))) = AA84)) / COUNTA($L$2:$T$7)</f>
        <v>0</v>
      </c>
    </row>
    <row r="85" spans="27:30" x14ac:dyDescent="0.45">
      <c r="AA85" s="25">
        <v>82</v>
      </c>
      <c r="AB85" s="25" cm="1">
        <f t="array" ref="AB85">SUMPRODUCT(--(VALUE(LEFT($L$2:$T$7, FIND(",", $L$2:$T$7) - 1)) = AA85)) / COUNTA($L$2:$T$7)</f>
        <v>0</v>
      </c>
      <c r="AC85" s="25">
        <v>0</v>
      </c>
      <c r="AD85" s="25" cm="1">
        <f t="array" ref="AD85">SUMPRODUCT(--(VALUE(RIGHT($L$2:$T$7, LEN($L$2:$T$7) - FIND("°", SUBSTITUTE($L$2:$T$7, ",", "°", 2)))) = AA85)) / COUNTA($L$2:$T$7)</f>
        <v>0</v>
      </c>
    </row>
    <row r="86" spans="27:30" x14ac:dyDescent="0.45">
      <c r="AA86" s="25">
        <v>83</v>
      </c>
      <c r="AB86" s="25" cm="1">
        <f t="array" ref="AB86">SUMPRODUCT(--(VALUE(LEFT($L$2:$T$7, FIND(",", $L$2:$T$7) - 1)) = AA86)) / COUNTA($L$2:$T$7)</f>
        <v>0</v>
      </c>
      <c r="AC86" s="25">
        <v>0</v>
      </c>
      <c r="AD86" s="25" cm="1">
        <f t="array" ref="AD86">SUMPRODUCT(--(VALUE(RIGHT($L$2:$T$7, LEN($L$2:$T$7) - FIND("°", SUBSTITUTE($L$2:$T$7, ",", "°", 2)))) = AA86)) / COUNTA($L$2:$T$7)</f>
        <v>0</v>
      </c>
    </row>
    <row r="87" spans="27:30" x14ac:dyDescent="0.45">
      <c r="AA87" s="25">
        <v>84</v>
      </c>
      <c r="AB87" s="25" cm="1">
        <f t="array" ref="AB87">SUMPRODUCT(--(VALUE(LEFT($L$2:$T$7, FIND(",", $L$2:$T$7) - 1)) = AA87)) / COUNTA($L$2:$T$7)</f>
        <v>0</v>
      </c>
      <c r="AC87" s="25">
        <v>0</v>
      </c>
      <c r="AD87" s="25" cm="1">
        <f t="array" ref="AD87">SUMPRODUCT(--(VALUE(RIGHT($L$2:$T$7, LEN($L$2:$T$7) - FIND("°", SUBSTITUTE($L$2:$T$7, ",", "°", 2)))) = AA87)) / COUNTA($L$2:$T$7)</f>
        <v>0</v>
      </c>
    </row>
    <row r="88" spans="27:30" x14ac:dyDescent="0.45">
      <c r="AA88" s="25">
        <v>85</v>
      </c>
      <c r="AB88" s="25" cm="1">
        <f t="array" ref="AB88">SUMPRODUCT(--(VALUE(LEFT($L$2:$T$7, FIND(",", $L$2:$T$7) - 1)) = AA88)) / COUNTA($L$2:$T$7)</f>
        <v>0</v>
      </c>
      <c r="AC88" s="25">
        <v>0</v>
      </c>
      <c r="AD88" s="25" cm="1">
        <f t="array" ref="AD88">SUMPRODUCT(--(VALUE(RIGHT($L$2:$T$7, LEN($L$2:$T$7) - FIND("°", SUBSTITUTE($L$2:$T$7, ",", "°", 2)))) = AA88)) / COUNTA($L$2:$T$7)</f>
        <v>0</v>
      </c>
    </row>
    <row r="89" spans="27:30" x14ac:dyDescent="0.45">
      <c r="AA89" s="25">
        <v>86</v>
      </c>
      <c r="AB89" s="25" cm="1">
        <f t="array" ref="AB89">SUMPRODUCT(--(VALUE(LEFT($L$2:$T$7, FIND(",", $L$2:$T$7) - 1)) = AA89)) / COUNTA($L$2:$T$7)</f>
        <v>0</v>
      </c>
      <c r="AC89" s="25">
        <v>0</v>
      </c>
      <c r="AD89" s="25" cm="1">
        <f t="array" ref="AD89">SUMPRODUCT(--(VALUE(RIGHT($L$2:$T$7, LEN($L$2:$T$7) - FIND("°", SUBSTITUTE($L$2:$T$7, ",", "°", 2)))) = AA89)) / COUNTA($L$2:$T$7)</f>
        <v>0</v>
      </c>
    </row>
    <row r="90" spans="27:30" x14ac:dyDescent="0.45">
      <c r="AA90" s="25">
        <v>87</v>
      </c>
      <c r="AB90" s="25" cm="1">
        <f t="array" ref="AB90">SUMPRODUCT(--(VALUE(LEFT($L$2:$T$7, FIND(",", $L$2:$T$7) - 1)) = AA90)) / COUNTA($L$2:$T$7)</f>
        <v>0</v>
      </c>
      <c r="AC90" s="25">
        <v>0</v>
      </c>
      <c r="AD90" s="25" cm="1">
        <f t="array" ref="AD90">SUMPRODUCT(--(VALUE(RIGHT($L$2:$T$7, LEN($L$2:$T$7) - FIND("°", SUBSTITUTE($L$2:$T$7, ",", "°", 2)))) = AA90)) / COUNTA($L$2:$T$7)</f>
        <v>0</v>
      </c>
    </row>
    <row r="91" spans="27:30" x14ac:dyDescent="0.45">
      <c r="AA91" s="25">
        <v>88</v>
      </c>
      <c r="AB91" s="25" cm="1">
        <f t="array" ref="AB91">SUMPRODUCT(--(VALUE(LEFT($L$2:$T$7, FIND(",", $L$2:$T$7) - 1)) = AA91)) / COUNTA($L$2:$T$7)</f>
        <v>0</v>
      </c>
      <c r="AC91" s="25">
        <v>0</v>
      </c>
      <c r="AD91" s="25" cm="1">
        <f t="array" ref="AD91">SUMPRODUCT(--(VALUE(RIGHT($L$2:$T$7, LEN($L$2:$T$7) - FIND("°", SUBSTITUTE($L$2:$T$7, ",", "°", 2)))) = AA91)) / COUNTA($L$2:$T$7)</f>
        <v>0</v>
      </c>
    </row>
    <row r="92" spans="27:30" x14ac:dyDescent="0.45">
      <c r="AA92" s="25">
        <v>89</v>
      </c>
      <c r="AB92" s="25" cm="1">
        <f t="array" ref="AB92">SUMPRODUCT(--(VALUE(LEFT($L$2:$T$7, FIND(",", $L$2:$T$7) - 1)) = AA92)) / COUNTA($L$2:$T$7)</f>
        <v>0</v>
      </c>
      <c r="AC92" s="25">
        <v>0</v>
      </c>
      <c r="AD92" s="25" cm="1">
        <f t="array" ref="AD92">SUMPRODUCT(--(VALUE(RIGHT($L$2:$T$7, LEN($L$2:$T$7) - FIND("°", SUBSTITUTE($L$2:$T$7, ",", "°", 2)))) = AA92)) / COUNTA($L$2:$T$7)</f>
        <v>0</v>
      </c>
    </row>
    <row r="93" spans="27:30" x14ac:dyDescent="0.45">
      <c r="AA93" s="25">
        <v>90</v>
      </c>
      <c r="AB93" s="25" cm="1">
        <f t="array" ref="AB93">SUMPRODUCT(--(VALUE(LEFT($L$2:$T$7, FIND(",", $L$2:$T$7) - 1)) = AA93)) / COUNTA($L$2:$T$7)</f>
        <v>0</v>
      </c>
      <c r="AC93" s="25">
        <v>0</v>
      </c>
      <c r="AD93" s="25" cm="1">
        <f t="array" ref="AD93">SUMPRODUCT(--(VALUE(RIGHT($L$2:$T$7, LEN($L$2:$T$7) - FIND("°", SUBSTITUTE($L$2:$T$7, ",", "°", 2)))) = AA93)) / COUNTA($L$2:$T$7)</f>
        <v>0</v>
      </c>
    </row>
    <row r="94" spans="27:30" x14ac:dyDescent="0.45">
      <c r="AA94" s="25">
        <v>91</v>
      </c>
      <c r="AB94" s="25" cm="1">
        <f t="array" ref="AB94">SUMPRODUCT(--(VALUE(LEFT($L$2:$T$7, FIND(",", $L$2:$T$7) - 1)) = AA94)) / COUNTA($L$2:$T$7)</f>
        <v>0</v>
      </c>
      <c r="AC94" s="25">
        <v>0</v>
      </c>
      <c r="AD94" s="25" cm="1">
        <f t="array" ref="AD94">SUMPRODUCT(--(VALUE(RIGHT($L$2:$T$7, LEN($L$2:$T$7) - FIND("°", SUBSTITUTE($L$2:$T$7, ",", "°", 2)))) = AA94)) / COUNTA($L$2:$T$7)</f>
        <v>0</v>
      </c>
    </row>
    <row r="95" spans="27:30" x14ac:dyDescent="0.45">
      <c r="AA95" s="25">
        <v>92</v>
      </c>
      <c r="AB95" s="25" cm="1">
        <f t="array" ref="AB95">SUMPRODUCT(--(VALUE(LEFT($L$2:$T$7, FIND(",", $L$2:$T$7) - 1)) = AA95)) / COUNTA($L$2:$T$7)</f>
        <v>0</v>
      </c>
      <c r="AC95" s="25">
        <v>0</v>
      </c>
      <c r="AD95" s="25" cm="1">
        <f t="array" ref="AD95">SUMPRODUCT(--(VALUE(RIGHT($L$2:$T$7, LEN($L$2:$T$7) - FIND("°", SUBSTITUTE($L$2:$T$7, ",", "°", 2)))) = AA95)) / COUNTA($L$2:$T$7)</f>
        <v>0</v>
      </c>
    </row>
    <row r="96" spans="27:30" x14ac:dyDescent="0.45">
      <c r="AA96" s="25">
        <v>93</v>
      </c>
      <c r="AB96" s="25" cm="1">
        <f t="array" ref="AB96">SUMPRODUCT(--(VALUE(LEFT($L$2:$T$7, FIND(",", $L$2:$T$7) - 1)) = AA96)) / COUNTA($L$2:$T$7)</f>
        <v>0</v>
      </c>
      <c r="AC96" s="25">
        <v>0</v>
      </c>
      <c r="AD96" s="25" cm="1">
        <f t="array" ref="AD96">SUMPRODUCT(--(VALUE(RIGHT($L$2:$T$7, LEN($L$2:$T$7) - FIND("°", SUBSTITUTE($L$2:$T$7, ",", "°", 2)))) = AA96)) / COUNTA($L$2:$T$7)</f>
        <v>0</v>
      </c>
    </row>
    <row r="97" spans="27:30" x14ac:dyDescent="0.45">
      <c r="AA97" s="25">
        <v>94</v>
      </c>
      <c r="AB97" s="25" cm="1">
        <f t="array" ref="AB97">SUMPRODUCT(--(VALUE(LEFT($L$2:$T$7, FIND(",", $L$2:$T$7) - 1)) = AA97)) / COUNTA($L$2:$T$7)</f>
        <v>0</v>
      </c>
      <c r="AC97" s="25">
        <v>0</v>
      </c>
      <c r="AD97" s="25" cm="1">
        <f t="array" ref="AD97">SUMPRODUCT(--(VALUE(RIGHT($L$2:$T$7, LEN($L$2:$T$7) - FIND("°", SUBSTITUTE($L$2:$T$7, ",", "°", 2)))) = AA97)) / COUNTA($L$2:$T$7)</f>
        <v>0</v>
      </c>
    </row>
    <row r="98" spans="27:30" x14ac:dyDescent="0.45">
      <c r="AA98" s="25">
        <v>95</v>
      </c>
      <c r="AB98" s="25" cm="1">
        <f t="array" ref="AB98">SUMPRODUCT(--(VALUE(LEFT($L$2:$T$7, FIND(",", $L$2:$T$7) - 1)) = AA98)) / COUNTA($L$2:$T$7)</f>
        <v>0</v>
      </c>
      <c r="AC98" s="25">
        <v>0</v>
      </c>
      <c r="AD98" s="25" cm="1">
        <f t="array" ref="AD98">SUMPRODUCT(--(VALUE(RIGHT($L$2:$T$7, LEN($L$2:$T$7) - FIND("°", SUBSTITUTE($L$2:$T$7, ",", "°", 2)))) = AA98)) / COUNTA($L$2:$T$7)</f>
        <v>0</v>
      </c>
    </row>
    <row r="99" spans="27:30" x14ac:dyDescent="0.45">
      <c r="AA99" s="25">
        <v>96</v>
      </c>
      <c r="AB99" s="25" cm="1">
        <f t="array" ref="AB99">SUMPRODUCT(--(VALUE(LEFT($L$2:$T$7, FIND(",", $L$2:$T$7) - 1)) = AA99)) / COUNTA($L$2:$T$7)</f>
        <v>0</v>
      </c>
      <c r="AC99" s="25">
        <v>0</v>
      </c>
      <c r="AD99" s="25" cm="1">
        <f t="array" ref="AD99">SUMPRODUCT(--(VALUE(RIGHT($L$2:$T$7, LEN($L$2:$T$7) - FIND("°", SUBSTITUTE($L$2:$T$7, ",", "°", 2)))) = AA99)) / COUNTA($L$2:$T$7)</f>
        <v>0</v>
      </c>
    </row>
    <row r="100" spans="27:30" x14ac:dyDescent="0.45">
      <c r="AA100" s="25">
        <v>97</v>
      </c>
      <c r="AB100" s="25" cm="1">
        <f t="array" ref="AB100">SUMPRODUCT(--(VALUE(LEFT($L$2:$T$7, FIND(",", $L$2:$T$7) - 1)) = AA100)) / COUNTA($L$2:$T$7)</f>
        <v>0</v>
      </c>
      <c r="AC100" s="25">
        <v>0</v>
      </c>
      <c r="AD100" s="25" cm="1">
        <f t="array" ref="AD100">SUMPRODUCT(--(VALUE(RIGHT($L$2:$T$7, LEN($L$2:$T$7) - FIND("°", SUBSTITUTE($L$2:$T$7, ",", "°", 2)))) = AA100)) / COUNTA($L$2:$T$7)</f>
        <v>0</v>
      </c>
    </row>
    <row r="101" spans="27:30" x14ac:dyDescent="0.45">
      <c r="AA101" s="25">
        <v>98</v>
      </c>
      <c r="AB101" s="25" cm="1">
        <f t="array" ref="AB101">SUMPRODUCT(--(VALUE(LEFT($L$2:$T$7, FIND(",", $L$2:$T$7) - 1)) = AA101)) / COUNTA($L$2:$T$7)</f>
        <v>0</v>
      </c>
      <c r="AC101" s="25">
        <v>0</v>
      </c>
      <c r="AD101" s="25" cm="1">
        <f t="array" ref="AD101">SUMPRODUCT(--(VALUE(RIGHT($L$2:$T$7, LEN($L$2:$T$7) - FIND("°", SUBSTITUTE($L$2:$T$7, ",", "°", 2)))) = AA101)) / COUNTA($L$2:$T$7)</f>
        <v>0</v>
      </c>
    </row>
    <row r="102" spans="27:30" x14ac:dyDescent="0.45">
      <c r="AA102" s="25">
        <v>99</v>
      </c>
      <c r="AB102" s="25" cm="1">
        <f t="array" ref="AB102">SUMPRODUCT(--(VALUE(LEFT($L$2:$T$7, FIND(",", $L$2:$T$7) - 1)) = AA102)) / COUNTA($L$2:$T$7)</f>
        <v>0</v>
      </c>
      <c r="AC102" s="25">
        <v>0</v>
      </c>
      <c r="AD102" s="25" cm="1">
        <f t="array" ref="AD102">SUMPRODUCT(--(VALUE(RIGHT($L$2:$T$7, LEN($L$2:$T$7) - FIND("°", SUBSTITUTE($L$2:$T$7, ",", "°", 2)))) = AA102)) / COUNTA($L$2:$T$7)</f>
        <v>0</v>
      </c>
    </row>
    <row r="103" spans="27:30" x14ac:dyDescent="0.45">
      <c r="AA103" s="25">
        <v>100</v>
      </c>
      <c r="AB103" s="25" cm="1">
        <f t="array" ref="AB103">SUMPRODUCT(--(VALUE(LEFT($L$2:$T$7, FIND(",", $L$2:$T$7) - 1)) = AA103)) / COUNTA($L$2:$T$7)</f>
        <v>0</v>
      </c>
      <c r="AC103" s="25">
        <v>0</v>
      </c>
      <c r="AD103" s="25" cm="1">
        <f t="array" ref="AD103">SUMPRODUCT(--(VALUE(RIGHT($L$2:$T$7, LEN($L$2:$T$7) - FIND("°", SUBSTITUTE($L$2:$T$7, ",", "°", 2)))) = AA103)) / COUNTA($L$2:$T$7)</f>
        <v>0</v>
      </c>
    </row>
    <row r="104" spans="27:30" x14ac:dyDescent="0.45">
      <c r="AA104" s="25">
        <v>101</v>
      </c>
      <c r="AB104" s="25" cm="1">
        <f t="array" ref="AB104">SUMPRODUCT(--(VALUE(LEFT($L$2:$T$7, FIND(",", $L$2:$T$7) - 1)) = AA104)) / COUNTA($L$2:$T$7)</f>
        <v>0</v>
      </c>
      <c r="AC104" s="25">
        <v>0</v>
      </c>
      <c r="AD104" s="25" cm="1">
        <f t="array" ref="AD104">SUMPRODUCT(--(VALUE(RIGHT($L$2:$T$7, LEN($L$2:$T$7) - FIND("°", SUBSTITUTE($L$2:$T$7, ",", "°", 2)))) = AA104)) / COUNTA($L$2:$T$7)</f>
        <v>0</v>
      </c>
    </row>
    <row r="105" spans="27:30" x14ac:dyDescent="0.45">
      <c r="AA105" s="25">
        <v>102</v>
      </c>
      <c r="AB105" s="25" cm="1">
        <f t="array" ref="AB105">SUMPRODUCT(--(VALUE(LEFT($L$2:$T$7, FIND(",", $L$2:$T$7) - 1)) = AA105)) / COUNTA($L$2:$T$7)</f>
        <v>0</v>
      </c>
      <c r="AC105" s="25">
        <v>0</v>
      </c>
      <c r="AD105" s="25" cm="1">
        <f t="array" ref="AD105">SUMPRODUCT(--(VALUE(RIGHT($L$2:$T$7, LEN($L$2:$T$7) - FIND("°", SUBSTITUTE($L$2:$T$7, ",", "°", 2)))) = AA105)) / COUNTA($L$2:$T$7)</f>
        <v>0</v>
      </c>
    </row>
    <row r="106" spans="27:30" x14ac:dyDescent="0.45">
      <c r="AA106" s="25">
        <v>103</v>
      </c>
      <c r="AB106" s="25" cm="1">
        <f t="array" ref="AB106">SUMPRODUCT(--(VALUE(LEFT($L$2:$T$7, FIND(",", $L$2:$T$7) - 1)) = AA106)) / COUNTA($L$2:$T$7)</f>
        <v>0</v>
      </c>
      <c r="AC106" s="25">
        <v>0</v>
      </c>
      <c r="AD106" s="25" cm="1">
        <f t="array" ref="AD106">SUMPRODUCT(--(VALUE(RIGHT($L$2:$T$7, LEN($L$2:$T$7) - FIND("°", SUBSTITUTE($L$2:$T$7, ",", "°", 2)))) = AA106)) / COUNTA($L$2:$T$7)</f>
        <v>0</v>
      </c>
    </row>
    <row r="107" spans="27:30" x14ac:dyDescent="0.45">
      <c r="AA107" s="25">
        <v>104</v>
      </c>
      <c r="AB107" s="25" cm="1">
        <f t="array" ref="AB107">SUMPRODUCT(--(VALUE(LEFT($L$2:$T$7, FIND(",", $L$2:$T$7) - 1)) = AA107)) / COUNTA($L$2:$T$7)</f>
        <v>0</v>
      </c>
      <c r="AC107" s="25">
        <v>0</v>
      </c>
      <c r="AD107" s="25" cm="1">
        <f t="array" ref="AD107">SUMPRODUCT(--(VALUE(RIGHT($L$2:$T$7, LEN($L$2:$T$7) - FIND("°", SUBSTITUTE($L$2:$T$7, ",", "°", 2)))) = AA107)) / COUNTA($L$2:$T$7)</f>
        <v>0</v>
      </c>
    </row>
    <row r="108" spans="27:30" x14ac:dyDescent="0.45">
      <c r="AA108" s="25">
        <v>105</v>
      </c>
      <c r="AB108" s="25" cm="1">
        <f t="array" ref="AB108">SUMPRODUCT(--(VALUE(LEFT($L$2:$T$7, FIND(",", $L$2:$T$7) - 1)) = AA108)) / COUNTA($L$2:$T$7)</f>
        <v>0</v>
      </c>
      <c r="AC108" s="25">
        <v>0</v>
      </c>
      <c r="AD108" s="25" cm="1">
        <f t="array" ref="AD108">SUMPRODUCT(--(VALUE(RIGHT($L$2:$T$7, LEN($L$2:$T$7) - FIND("°", SUBSTITUTE($L$2:$T$7, ",", "°", 2)))) = AA108)) / COUNTA($L$2:$T$7)</f>
        <v>0</v>
      </c>
    </row>
    <row r="109" spans="27:30" x14ac:dyDescent="0.45">
      <c r="AA109" s="25">
        <v>106</v>
      </c>
      <c r="AB109" s="25" cm="1">
        <f t="array" ref="AB109">SUMPRODUCT(--(VALUE(LEFT($L$2:$T$7, FIND(",", $L$2:$T$7) - 1)) = AA109)) / COUNTA($L$2:$T$7)</f>
        <v>0</v>
      </c>
      <c r="AC109" s="25">
        <v>0</v>
      </c>
      <c r="AD109" s="25" cm="1">
        <f t="array" ref="AD109">SUMPRODUCT(--(VALUE(RIGHT($L$2:$T$7, LEN($L$2:$T$7) - FIND("°", SUBSTITUTE($L$2:$T$7, ",", "°", 2)))) = AA109)) / COUNTA($L$2:$T$7)</f>
        <v>0</v>
      </c>
    </row>
    <row r="110" spans="27:30" x14ac:dyDescent="0.45">
      <c r="AA110" s="25">
        <v>107</v>
      </c>
      <c r="AB110" s="25" cm="1">
        <f t="array" ref="AB110">SUMPRODUCT(--(VALUE(LEFT($L$2:$T$7, FIND(",", $L$2:$T$7) - 1)) = AA110)) / COUNTA($L$2:$T$7)</f>
        <v>0</v>
      </c>
      <c r="AC110" s="25">
        <v>0</v>
      </c>
      <c r="AD110" s="25" cm="1">
        <f t="array" ref="AD110">SUMPRODUCT(--(VALUE(RIGHT($L$2:$T$7, LEN($L$2:$T$7) - FIND("°", SUBSTITUTE($L$2:$T$7, ",", "°", 2)))) = AA110)) / COUNTA($L$2:$T$7)</f>
        <v>0</v>
      </c>
    </row>
    <row r="111" spans="27:30" x14ac:dyDescent="0.45">
      <c r="AA111" s="25">
        <v>108</v>
      </c>
      <c r="AB111" s="25" cm="1">
        <f t="array" ref="AB111">SUMPRODUCT(--(VALUE(LEFT($L$2:$T$7, FIND(",", $L$2:$T$7) - 1)) = AA111)) / COUNTA($L$2:$T$7)</f>
        <v>0</v>
      </c>
      <c r="AC111" s="25">
        <v>0</v>
      </c>
      <c r="AD111" s="25" cm="1">
        <f t="array" ref="AD111">SUMPRODUCT(--(VALUE(RIGHT($L$2:$T$7, LEN($L$2:$T$7) - FIND("°", SUBSTITUTE($L$2:$T$7, ",", "°", 2)))) = AA111)) / COUNTA($L$2:$T$7)</f>
        <v>0</v>
      </c>
    </row>
    <row r="112" spans="27:30" x14ac:dyDescent="0.45">
      <c r="AA112" s="25">
        <v>109</v>
      </c>
      <c r="AB112" s="25" cm="1">
        <f t="array" ref="AB112">SUMPRODUCT(--(VALUE(LEFT($L$2:$T$7, FIND(",", $L$2:$T$7) - 1)) = AA112)) / COUNTA($L$2:$T$7)</f>
        <v>0</v>
      </c>
      <c r="AC112" s="25">
        <v>0</v>
      </c>
      <c r="AD112" s="25" cm="1">
        <f t="array" ref="AD112">SUMPRODUCT(--(VALUE(RIGHT($L$2:$T$7, LEN($L$2:$T$7) - FIND("°", SUBSTITUTE($L$2:$T$7, ",", "°", 2)))) = AA112)) / COUNTA($L$2:$T$7)</f>
        <v>0</v>
      </c>
    </row>
    <row r="113" spans="27:30" x14ac:dyDescent="0.45">
      <c r="AA113" s="25">
        <v>110</v>
      </c>
      <c r="AB113" s="25" cm="1">
        <f t="array" ref="AB113">SUMPRODUCT(--(VALUE(LEFT($L$2:$T$7, FIND(",", $L$2:$T$7) - 1)) = AA113)) / COUNTA($L$2:$T$7)</f>
        <v>0</v>
      </c>
      <c r="AC113" s="25">
        <v>0</v>
      </c>
      <c r="AD113" s="25" cm="1">
        <f t="array" ref="AD113">SUMPRODUCT(--(VALUE(RIGHT($L$2:$T$7, LEN($L$2:$T$7) - FIND("°", SUBSTITUTE($L$2:$T$7, ",", "°", 2)))) = AA113)) / COUNTA($L$2:$T$7)</f>
        <v>0</v>
      </c>
    </row>
    <row r="114" spans="27:30" x14ac:dyDescent="0.45">
      <c r="AA114" s="25">
        <v>111</v>
      </c>
      <c r="AB114" s="25" cm="1">
        <f t="array" ref="AB114">SUMPRODUCT(--(VALUE(LEFT($L$2:$T$7, FIND(",", $L$2:$T$7) - 1)) = AA114)) / COUNTA($L$2:$T$7)</f>
        <v>0</v>
      </c>
      <c r="AC114" s="25">
        <v>0</v>
      </c>
      <c r="AD114" s="25" cm="1">
        <f t="array" ref="AD114">SUMPRODUCT(--(VALUE(RIGHT($L$2:$T$7, LEN($L$2:$T$7) - FIND("°", SUBSTITUTE($L$2:$T$7, ",", "°", 2)))) = AA114)) / COUNTA($L$2:$T$7)</f>
        <v>0</v>
      </c>
    </row>
    <row r="115" spans="27:30" x14ac:dyDescent="0.45">
      <c r="AA115" s="25">
        <v>112</v>
      </c>
      <c r="AB115" s="25" cm="1">
        <f t="array" ref="AB115">SUMPRODUCT(--(VALUE(LEFT($L$2:$T$7, FIND(",", $L$2:$T$7) - 1)) = AA115)) / COUNTA($L$2:$T$7)</f>
        <v>0</v>
      </c>
      <c r="AC115" s="25">
        <v>0</v>
      </c>
      <c r="AD115" s="25" cm="1">
        <f t="array" ref="AD115">SUMPRODUCT(--(VALUE(RIGHT($L$2:$T$7, LEN($L$2:$T$7) - FIND("°", SUBSTITUTE($L$2:$T$7, ",", "°", 2)))) = AA115)) / COUNTA($L$2:$T$7)</f>
        <v>0</v>
      </c>
    </row>
    <row r="116" spans="27:30" x14ac:dyDescent="0.45">
      <c r="AA116" s="25">
        <v>113</v>
      </c>
      <c r="AB116" s="25" cm="1">
        <f t="array" ref="AB116">SUMPRODUCT(--(VALUE(LEFT($L$2:$T$7, FIND(",", $L$2:$T$7) - 1)) = AA116)) / COUNTA($L$2:$T$7)</f>
        <v>0</v>
      </c>
      <c r="AC116" s="25">
        <v>0</v>
      </c>
      <c r="AD116" s="25" cm="1">
        <f t="array" ref="AD116">SUMPRODUCT(--(VALUE(RIGHT($L$2:$T$7, LEN($L$2:$T$7) - FIND("°", SUBSTITUTE($L$2:$T$7, ",", "°", 2)))) = AA116)) / COUNTA($L$2:$T$7)</f>
        <v>0</v>
      </c>
    </row>
    <row r="117" spans="27:30" x14ac:dyDescent="0.45">
      <c r="AA117" s="25">
        <v>114</v>
      </c>
      <c r="AB117" s="25" cm="1">
        <f t="array" ref="AB117">SUMPRODUCT(--(VALUE(LEFT($L$2:$T$7, FIND(",", $L$2:$T$7) - 1)) = AA117)) / COUNTA($L$2:$T$7)</f>
        <v>0</v>
      </c>
      <c r="AC117" s="25">
        <v>0</v>
      </c>
      <c r="AD117" s="25" cm="1">
        <f t="array" ref="AD117">SUMPRODUCT(--(VALUE(RIGHT($L$2:$T$7, LEN($L$2:$T$7) - FIND("°", SUBSTITUTE($L$2:$T$7, ",", "°", 2)))) = AA117)) / COUNTA($L$2:$T$7)</f>
        <v>0</v>
      </c>
    </row>
    <row r="118" spans="27:30" x14ac:dyDescent="0.45">
      <c r="AA118" s="25">
        <v>115</v>
      </c>
      <c r="AB118" s="25" cm="1">
        <f t="array" ref="AB118">SUMPRODUCT(--(VALUE(LEFT($L$2:$T$7, FIND(",", $L$2:$T$7) - 1)) = AA118)) / COUNTA($L$2:$T$7)</f>
        <v>0</v>
      </c>
      <c r="AC118" s="25">
        <v>0</v>
      </c>
      <c r="AD118" s="25" cm="1">
        <f t="array" ref="AD118">SUMPRODUCT(--(VALUE(RIGHT($L$2:$T$7, LEN($L$2:$T$7) - FIND("°", SUBSTITUTE($L$2:$T$7, ",", "°", 2)))) = AA118)) / COUNTA($L$2:$T$7)</f>
        <v>0</v>
      </c>
    </row>
    <row r="119" spans="27:30" x14ac:dyDescent="0.45">
      <c r="AA119" s="25">
        <v>116</v>
      </c>
      <c r="AB119" s="25" cm="1">
        <f t="array" ref="AB119">SUMPRODUCT(--(VALUE(LEFT($L$2:$T$7, FIND(",", $L$2:$T$7) - 1)) = AA119)) / COUNTA($L$2:$T$7)</f>
        <v>0</v>
      </c>
      <c r="AC119" s="25">
        <v>0</v>
      </c>
      <c r="AD119" s="25" cm="1">
        <f t="array" ref="AD119">SUMPRODUCT(--(VALUE(RIGHT($L$2:$T$7, LEN($L$2:$T$7) - FIND("°", SUBSTITUTE($L$2:$T$7, ",", "°", 2)))) = AA119)) / COUNTA($L$2:$T$7)</f>
        <v>0</v>
      </c>
    </row>
    <row r="120" spans="27:30" x14ac:dyDescent="0.45">
      <c r="AA120" s="25">
        <v>117</v>
      </c>
      <c r="AB120" s="25" cm="1">
        <f t="array" ref="AB120">SUMPRODUCT(--(VALUE(LEFT($L$2:$T$7, FIND(",", $L$2:$T$7) - 1)) = AA120)) / COUNTA($L$2:$T$7)</f>
        <v>0</v>
      </c>
      <c r="AC120" s="25">
        <v>0</v>
      </c>
      <c r="AD120" s="25" cm="1">
        <f t="array" ref="AD120">SUMPRODUCT(--(VALUE(RIGHT($L$2:$T$7, LEN($L$2:$T$7) - FIND("°", SUBSTITUTE($L$2:$T$7, ",", "°", 2)))) = AA120)) / COUNTA($L$2:$T$7)</f>
        <v>0</v>
      </c>
    </row>
    <row r="121" spans="27:30" x14ac:dyDescent="0.45">
      <c r="AA121" s="25">
        <v>118</v>
      </c>
      <c r="AB121" s="25" cm="1">
        <f t="array" ref="AB121">SUMPRODUCT(--(VALUE(LEFT($L$2:$T$7, FIND(",", $L$2:$T$7) - 1)) = AA121)) / COUNTA($L$2:$T$7)</f>
        <v>0</v>
      </c>
      <c r="AC121" s="25">
        <v>0</v>
      </c>
      <c r="AD121" s="25" cm="1">
        <f t="array" ref="AD121">SUMPRODUCT(--(VALUE(RIGHT($L$2:$T$7, LEN($L$2:$T$7) - FIND("°", SUBSTITUTE($L$2:$T$7, ",", "°", 2)))) = AA121)) / COUNTA($L$2:$T$7)</f>
        <v>0</v>
      </c>
    </row>
    <row r="122" spans="27:30" x14ac:dyDescent="0.45">
      <c r="AA122" s="25">
        <v>119</v>
      </c>
      <c r="AB122" s="25" cm="1">
        <f t="array" ref="AB122">SUMPRODUCT(--(VALUE(LEFT($L$2:$T$7, FIND(",", $L$2:$T$7) - 1)) = AA122)) / COUNTA($L$2:$T$7)</f>
        <v>0</v>
      </c>
      <c r="AC122" s="25">
        <v>0</v>
      </c>
      <c r="AD122" s="25" cm="1">
        <f t="array" ref="AD122">SUMPRODUCT(--(VALUE(RIGHT($L$2:$T$7, LEN($L$2:$T$7) - FIND("°", SUBSTITUTE($L$2:$T$7, ",", "°", 2)))) = AA122)) / COUNTA($L$2:$T$7)</f>
        <v>0</v>
      </c>
    </row>
    <row r="123" spans="27:30" x14ac:dyDescent="0.45">
      <c r="AA123" s="25">
        <v>120</v>
      </c>
      <c r="AB123" s="25" cm="1">
        <f t="array" ref="AB123">SUMPRODUCT(--(VALUE(LEFT($L$2:$T$7, FIND(",", $L$2:$T$7) - 1)) = AA123)) / COUNTA($L$2:$T$7)</f>
        <v>0</v>
      </c>
      <c r="AC123" s="25">
        <v>0</v>
      </c>
      <c r="AD123" s="25" cm="1">
        <f t="array" ref="AD123">SUMPRODUCT(--(VALUE(RIGHT($L$2:$T$7, LEN($L$2:$T$7) - FIND("°", SUBSTITUTE($L$2:$T$7, ",", "°", 2)))) = AA123)) / COUNTA($L$2:$T$7)</f>
        <v>0</v>
      </c>
    </row>
    <row r="124" spans="27:30" x14ac:dyDescent="0.45">
      <c r="AA124" s="25">
        <v>121</v>
      </c>
      <c r="AB124" s="25" cm="1">
        <f t="array" ref="AB124">SUMPRODUCT(--(VALUE(LEFT($L$2:$T$7, FIND(",", $L$2:$T$7) - 1)) = AA124)) / COUNTA($L$2:$T$7)</f>
        <v>0</v>
      </c>
      <c r="AC124" s="25">
        <v>0</v>
      </c>
      <c r="AD124" s="25" cm="1">
        <f t="array" ref="AD124">SUMPRODUCT(--(VALUE(RIGHT($L$2:$T$7, LEN($L$2:$T$7) - FIND("°", SUBSTITUTE($L$2:$T$7, ",", "°", 2)))) = AA124)) / COUNTA($L$2:$T$7)</f>
        <v>0</v>
      </c>
    </row>
    <row r="125" spans="27:30" x14ac:dyDescent="0.45">
      <c r="AA125" s="25">
        <v>122</v>
      </c>
      <c r="AB125" s="25" cm="1">
        <f t="array" ref="AB125">SUMPRODUCT(--(VALUE(LEFT($L$2:$T$7, FIND(",", $L$2:$T$7) - 1)) = AA125)) / COUNTA($L$2:$T$7)</f>
        <v>0</v>
      </c>
      <c r="AC125" s="25">
        <v>0</v>
      </c>
      <c r="AD125" s="25" cm="1">
        <f t="array" ref="AD125">SUMPRODUCT(--(VALUE(RIGHT($L$2:$T$7, LEN($L$2:$T$7) - FIND("°", SUBSTITUTE($L$2:$T$7, ",", "°", 2)))) = AA125)) / COUNTA($L$2:$T$7)</f>
        <v>0</v>
      </c>
    </row>
    <row r="126" spans="27:30" x14ac:dyDescent="0.45">
      <c r="AA126" s="25">
        <v>123</v>
      </c>
      <c r="AB126" s="25" cm="1">
        <f t="array" ref="AB126">SUMPRODUCT(--(VALUE(LEFT($L$2:$T$7, FIND(",", $L$2:$T$7) - 1)) = AA126)) / COUNTA($L$2:$T$7)</f>
        <v>0</v>
      </c>
      <c r="AC126" s="25">
        <v>0</v>
      </c>
      <c r="AD126" s="25" cm="1">
        <f t="array" ref="AD126">SUMPRODUCT(--(VALUE(RIGHT($L$2:$T$7, LEN($L$2:$T$7) - FIND("°", SUBSTITUTE($L$2:$T$7, ",", "°", 2)))) = AA126)) / COUNTA($L$2:$T$7)</f>
        <v>0</v>
      </c>
    </row>
    <row r="127" spans="27:30" x14ac:dyDescent="0.45">
      <c r="AA127" s="25">
        <v>124</v>
      </c>
      <c r="AB127" s="25" cm="1">
        <f t="array" ref="AB127">SUMPRODUCT(--(VALUE(LEFT($L$2:$T$7, FIND(",", $L$2:$T$7) - 1)) = AA127)) / COUNTA($L$2:$T$7)</f>
        <v>0</v>
      </c>
      <c r="AC127" s="25">
        <v>0</v>
      </c>
      <c r="AD127" s="25" cm="1">
        <f t="array" ref="AD127">SUMPRODUCT(--(VALUE(RIGHT($L$2:$T$7, LEN($L$2:$T$7) - FIND("°", SUBSTITUTE($L$2:$T$7, ",", "°", 2)))) = AA127)) / COUNTA($L$2:$T$7)</f>
        <v>0</v>
      </c>
    </row>
    <row r="128" spans="27:30" x14ac:dyDescent="0.45">
      <c r="AA128" s="25">
        <v>125</v>
      </c>
      <c r="AB128" s="25" cm="1">
        <f t="array" ref="AB128">SUMPRODUCT(--(VALUE(LEFT($L$2:$T$7, FIND(",", $L$2:$T$7) - 1)) = AA128)) / COUNTA($L$2:$T$7)</f>
        <v>0</v>
      </c>
      <c r="AC128" s="25">
        <v>0</v>
      </c>
      <c r="AD128" s="25" cm="1">
        <f t="array" ref="AD128">SUMPRODUCT(--(VALUE(RIGHT($L$2:$T$7, LEN($L$2:$T$7) - FIND("°", SUBSTITUTE($L$2:$T$7, ",", "°", 2)))) = AA128)) / COUNTA($L$2:$T$7)</f>
        <v>0</v>
      </c>
    </row>
    <row r="129" spans="27:30" x14ac:dyDescent="0.45">
      <c r="AA129" s="25">
        <v>126</v>
      </c>
      <c r="AB129" s="25" cm="1">
        <f t="array" ref="AB129">SUMPRODUCT(--(VALUE(LEFT($L$2:$T$7, FIND(",", $L$2:$T$7) - 1)) = AA129)) / COUNTA($L$2:$T$7)</f>
        <v>0</v>
      </c>
      <c r="AC129" s="25">
        <v>0</v>
      </c>
      <c r="AD129" s="25" cm="1">
        <f t="array" ref="AD129">SUMPRODUCT(--(VALUE(RIGHT($L$2:$T$7, LEN($L$2:$T$7) - FIND("°", SUBSTITUTE($L$2:$T$7, ",", "°", 2)))) = AA129)) / COUNTA($L$2:$T$7)</f>
        <v>0</v>
      </c>
    </row>
    <row r="130" spans="27:30" x14ac:dyDescent="0.45">
      <c r="AA130" s="25">
        <v>127</v>
      </c>
      <c r="AB130" s="25" cm="1">
        <f t="array" ref="AB130">SUMPRODUCT(--(VALUE(LEFT($L$2:$T$7, FIND(",", $L$2:$T$7) - 1)) = AA130)) / COUNTA($L$2:$T$7)</f>
        <v>0</v>
      </c>
      <c r="AC130" s="25">
        <v>0</v>
      </c>
      <c r="AD130" s="25" cm="1">
        <f t="array" ref="AD130">SUMPRODUCT(--(VALUE(RIGHT($L$2:$T$7, LEN($L$2:$T$7) - FIND("°", SUBSTITUTE($L$2:$T$7, ",", "°", 2)))) = AA130)) / COUNTA($L$2:$T$7)</f>
        <v>0</v>
      </c>
    </row>
    <row r="131" spans="27:30" x14ac:dyDescent="0.45">
      <c r="AA131" s="25">
        <v>128</v>
      </c>
      <c r="AB131" s="25" cm="1">
        <f t="array" ref="AB131">SUMPRODUCT(--(VALUE(LEFT($L$2:$T$7, FIND(",", $L$2:$T$7) - 1)) = AA131)) / COUNTA($L$2:$T$7)</f>
        <v>0</v>
      </c>
      <c r="AC131" s="25">
        <v>0</v>
      </c>
      <c r="AD131" s="25" cm="1">
        <f t="array" ref="AD131">SUMPRODUCT(--(VALUE(RIGHT($L$2:$T$7, LEN($L$2:$T$7) - FIND("°", SUBSTITUTE($L$2:$T$7, ",", "°", 2)))) = AA131)) / COUNTA($L$2:$T$7)</f>
        <v>0</v>
      </c>
    </row>
    <row r="132" spans="27:30" x14ac:dyDescent="0.45">
      <c r="AA132" s="25">
        <v>129</v>
      </c>
      <c r="AB132" s="25" cm="1">
        <f t="array" ref="AB132">SUMPRODUCT(--(VALUE(LEFT($L$2:$T$7, FIND(",", $L$2:$T$7) - 1)) = AA132)) / COUNTA($L$2:$T$7)</f>
        <v>0</v>
      </c>
      <c r="AC132" s="25">
        <v>0</v>
      </c>
      <c r="AD132" s="25" cm="1">
        <f t="array" ref="AD132">SUMPRODUCT(--(VALUE(RIGHT($L$2:$T$7, LEN($L$2:$T$7) - FIND("°", SUBSTITUTE($L$2:$T$7, ",", "°", 2)))) = AA132)) / COUNTA($L$2:$T$7)</f>
        <v>0</v>
      </c>
    </row>
    <row r="133" spans="27:30" x14ac:dyDescent="0.45">
      <c r="AA133" s="25">
        <v>130</v>
      </c>
      <c r="AB133" s="25" cm="1">
        <f t="array" ref="AB133">SUMPRODUCT(--(VALUE(LEFT($L$2:$T$7, FIND(",", $L$2:$T$7) - 1)) = AA133)) / COUNTA($L$2:$T$7)</f>
        <v>0</v>
      </c>
      <c r="AC133" s="25">
        <v>0</v>
      </c>
      <c r="AD133" s="25" cm="1">
        <f t="array" ref="AD133">SUMPRODUCT(--(VALUE(RIGHT($L$2:$T$7, LEN($L$2:$T$7) - FIND("°", SUBSTITUTE($L$2:$T$7, ",", "°", 2)))) = AA133)) / COUNTA($L$2:$T$7)</f>
        <v>0</v>
      </c>
    </row>
    <row r="134" spans="27:30" x14ac:dyDescent="0.45">
      <c r="AA134" s="25">
        <v>131</v>
      </c>
      <c r="AB134" s="25" cm="1">
        <f t="array" ref="AB134">SUMPRODUCT(--(VALUE(LEFT($L$2:$T$7, FIND(",", $L$2:$T$7) - 1)) = AA134)) / COUNTA($L$2:$T$7)</f>
        <v>0</v>
      </c>
      <c r="AC134" s="25">
        <v>0</v>
      </c>
      <c r="AD134" s="25" cm="1">
        <f t="array" ref="AD134">SUMPRODUCT(--(VALUE(RIGHT($L$2:$T$7, LEN($L$2:$T$7) - FIND("°", SUBSTITUTE($L$2:$T$7, ",", "°", 2)))) = AA134)) / COUNTA($L$2:$T$7)</f>
        <v>0</v>
      </c>
    </row>
    <row r="135" spans="27:30" x14ac:dyDescent="0.45">
      <c r="AA135" s="25">
        <v>132</v>
      </c>
      <c r="AB135" s="25" cm="1">
        <f t="array" ref="AB135">SUMPRODUCT(--(VALUE(LEFT($L$2:$T$7, FIND(",", $L$2:$T$7) - 1)) = AA135)) / COUNTA($L$2:$T$7)</f>
        <v>0</v>
      </c>
      <c r="AC135" s="25">
        <v>0</v>
      </c>
      <c r="AD135" s="25" cm="1">
        <f t="array" ref="AD135">SUMPRODUCT(--(VALUE(RIGHT($L$2:$T$7, LEN($L$2:$T$7) - FIND("°", SUBSTITUTE($L$2:$T$7, ",", "°", 2)))) = AA135)) / COUNTA($L$2:$T$7)</f>
        <v>0</v>
      </c>
    </row>
    <row r="136" spans="27:30" x14ac:dyDescent="0.45">
      <c r="AA136" s="25">
        <v>133</v>
      </c>
      <c r="AB136" s="25" cm="1">
        <f t="array" ref="AB136">SUMPRODUCT(--(VALUE(LEFT($L$2:$T$7, FIND(",", $L$2:$T$7) - 1)) = AA136)) / COUNTA($L$2:$T$7)</f>
        <v>0</v>
      </c>
      <c r="AC136" s="25">
        <v>0</v>
      </c>
      <c r="AD136" s="25" cm="1">
        <f t="array" ref="AD136">SUMPRODUCT(--(VALUE(RIGHT($L$2:$T$7, LEN($L$2:$T$7) - FIND("°", SUBSTITUTE($L$2:$T$7, ",", "°", 2)))) = AA136)) / COUNTA($L$2:$T$7)</f>
        <v>0</v>
      </c>
    </row>
    <row r="137" spans="27:30" x14ac:dyDescent="0.45">
      <c r="AA137" s="25">
        <v>134</v>
      </c>
      <c r="AB137" s="25" cm="1">
        <f t="array" ref="AB137">SUMPRODUCT(--(VALUE(LEFT($L$2:$T$7, FIND(",", $L$2:$T$7) - 1)) = AA137)) / COUNTA($L$2:$T$7)</f>
        <v>0</v>
      </c>
      <c r="AC137" s="25">
        <v>0</v>
      </c>
      <c r="AD137" s="25" cm="1">
        <f t="array" ref="AD137">SUMPRODUCT(--(VALUE(RIGHT($L$2:$T$7, LEN($L$2:$T$7) - FIND("°", SUBSTITUTE($L$2:$T$7, ",", "°", 2)))) = AA137)) / COUNTA($L$2:$T$7)</f>
        <v>0</v>
      </c>
    </row>
    <row r="138" spans="27:30" x14ac:dyDescent="0.45">
      <c r="AA138" s="25">
        <v>135</v>
      </c>
      <c r="AB138" s="25" cm="1">
        <f t="array" ref="AB138">SUMPRODUCT(--(VALUE(LEFT($L$2:$T$7, FIND(",", $L$2:$T$7) - 1)) = AA138)) / COUNTA($L$2:$T$7)</f>
        <v>0</v>
      </c>
      <c r="AC138" s="25">
        <v>0</v>
      </c>
      <c r="AD138" s="25" cm="1">
        <f t="array" ref="AD138">SUMPRODUCT(--(VALUE(RIGHT($L$2:$T$7, LEN($L$2:$T$7) - FIND("°", SUBSTITUTE($L$2:$T$7, ",", "°", 2)))) = AA138)) / COUNTA($L$2:$T$7)</f>
        <v>0</v>
      </c>
    </row>
    <row r="139" spans="27:30" x14ac:dyDescent="0.45">
      <c r="AA139" s="25">
        <v>136</v>
      </c>
      <c r="AB139" s="25" cm="1">
        <f t="array" ref="AB139">SUMPRODUCT(--(VALUE(LEFT($L$2:$T$7, FIND(",", $L$2:$T$7) - 1)) = AA139)) / COUNTA($L$2:$T$7)</f>
        <v>0</v>
      </c>
      <c r="AC139" s="25">
        <v>0</v>
      </c>
      <c r="AD139" s="25" cm="1">
        <f t="array" ref="AD139">SUMPRODUCT(--(VALUE(RIGHT($L$2:$T$7, LEN($L$2:$T$7) - FIND("°", SUBSTITUTE($L$2:$T$7, ",", "°", 2)))) = AA139)) / COUNTA($L$2:$T$7)</f>
        <v>0</v>
      </c>
    </row>
    <row r="140" spans="27:30" x14ac:dyDescent="0.45">
      <c r="AA140" s="25">
        <v>137</v>
      </c>
      <c r="AB140" s="25" cm="1">
        <f t="array" ref="AB140">SUMPRODUCT(--(VALUE(LEFT($L$2:$T$7, FIND(",", $L$2:$T$7) - 1)) = AA140)) / COUNTA($L$2:$T$7)</f>
        <v>0</v>
      </c>
      <c r="AC140" s="25">
        <v>0</v>
      </c>
      <c r="AD140" s="25" cm="1">
        <f t="array" ref="AD140">SUMPRODUCT(--(VALUE(RIGHT($L$2:$T$7, LEN($L$2:$T$7) - FIND("°", SUBSTITUTE($L$2:$T$7, ",", "°", 2)))) = AA140)) / COUNTA($L$2:$T$7)</f>
        <v>0</v>
      </c>
    </row>
    <row r="141" spans="27:30" x14ac:dyDescent="0.45">
      <c r="AA141" s="25">
        <v>138</v>
      </c>
      <c r="AB141" s="25" cm="1">
        <f t="array" ref="AB141">SUMPRODUCT(--(VALUE(LEFT($L$2:$T$7, FIND(",", $L$2:$T$7) - 1)) = AA141)) / COUNTA($L$2:$T$7)</f>
        <v>0</v>
      </c>
      <c r="AC141" s="25">
        <v>0</v>
      </c>
      <c r="AD141" s="25" cm="1">
        <f t="array" ref="AD141">SUMPRODUCT(--(VALUE(RIGHT($L$2:$T$7, LEN($L$2:$T$7) - FIND("°", SUBSTITUTE($L$2:$T$7, ",", "°", 2)))) = AA141)) / COUNTA($L$2:$T$7)</f>
        <v>0</v>
      </c>
    </row>
    <row r="142" spans="27:30" x14ac:dyDescent="0.45">
      <c r="AA142" s="25">
        <v>139</v>
      </c>
      <c r="AB142" s="25" cm="1">
        <f t="array" ref="AB142">SUMPRODUCT(--(VALUE(LEFT($L$2:$T$7, FIND(",", $L$2:$T$7) - 1)) = AA142)) / COUNTA($L$2:$T$7)</f>
        <v>0</v>
      </c>
      <c r="AC142" s="25">
        <v>0</v>
      </c>
      <c r="AD142" s="25" cm="1">
        <f t="array" ref="AD142">SUMPRODUCT(--(VALUE(RIGHT($L$2:$T$7, LEN($L$2:$T$7) - FIND("°", SUBSTITUTE($L$2:$T$7, ",", "°", 2)))) = AA142)) / COUNTA($L$2:$T$7)</f>
        <v>0</v>
      </c>
    </row>
    <row r="143" spans="27:30" x14ac:dyDescent="0.45">
      <c r="AA143" s="25">
        <v>140</v>
      </c>
      <c r="AB143" s="25" cm="1">
        <f t="array" ref="AB143">SUMPRODUCT(--(VALUE(LEFT($L$2:$T$7, FIND(",", $L$2:$T$7) - 1)) = AA143)) / COUNTA($L$2:$T$7)</f>
        <v>0</v>
      </c>
      <c r="AC143" s="25">
        <v>0</v>
      </c>
      <c r="AD143" s="25" cm="1">
        <f t="array" ref="AD143">SUMPRODUCT(--(VALUE(RIGHT($L$2:$T$7, LEN($L$2:$T$7) - FIND("°", SUBSTITUTE($L$2:$T$7, ",", "°", 2)))) = AA143)) / COUNTA($L$2:$T$7)</f>
        <v>0</v>
      </c>
    </row>
    <row r="144" spans="27:30" x14ac:dyDescent="0.45">
      <c r="AA144" s="25">
        <v>141</v>
      </c>
      <c r="AB144" s="25" cm="1">
        <f t="array" ref="AB144">SUMPRODUCT(--(VALUE(LEFT($L$2:$T$7, FIND(",", $L$2:$T$7) - 1)) = AA144)) / COUNTA($L$2:$T$7)</f>
        <v>0</v>
      </c>
      <c r="AC144" s="25">
        <v>0</v>
      </c>
      <c r="AD144" s="25" cm="1">
        <f t="array" ref="AD144">SUMPRODUCT(--(VALUE(RIGHT($L$2:$T$7, LEN($L$2:$T$7) - FIND("°", SUBSTITUTE($L$2:$T$7, ",", "°", 2)))) = AA144)) / COUNTA($L$2:$T$7)</f>
        <v>0</v>
      </c>
    </row>
    <row r="145" spans="27:30" x14ac:dyDescent="0.45">
      <c r="AA145" s="25">
        <v>142</v>
      </c>
      <c r="AB145" s="25" cm="1">
        <f t="array" ref="AB145">SUMPRODUCT(--(VALUE(LEFT($L$2:$T$7, FIND(",", $L$2:$T$7) - 1)) = AA145)) / COUNTA($L$2:$T$7)</f>
        <v>0</v>
      </c>
      <c r="AC145" s="25">
        <v>0</v>
      </c>
      <c r="AD145" s="25" cm="1">
        <f t="array" ref="AD145">SUMPRODUCT(--(VALUE(RIGHT($L$2:$T$7, LEN($L$2:$T$7) - FIND("°", SUBSTITUTE($L$2:$T$7, ",", "°", 2)))) = AA145)) / COUNTA($L$2:$T$7)</f>
        <v>0</v>
      </c>
    </row>
    <row r="146" spans="27:30" x14ac:dyDescent="0.45">
      <c r="AA146" s="25">
        <v>143</v>
      </c>
      <c r="AB146" s="25" cm="1">
        <f t="array" ref="AB146">SUMPRODUCT(--(VALUE(LEFT($L$2:$T$7, FIND(",", $L$2:$T$7) - 1)) = AA146)) / COUNTA($L$2:$T$7)</f>
        <v>0</v>
      </c>
      <c r="AC146" s="25">
        <v>0</v>
      </c>
      <c r="AD146" s="25" cm="1">
        <f t="array" ref="AD146">SUMPRODUCT(--(VALUE(RIGHT($L$2:$T$7, LEN($L$2:$T$7) - FIND("°", SUBSTITUTE($L$2:$T$7, ",", "°", 2)))) = AA146)) / COUNTA($L$2:$T$7)</f>
        <v>0</v>
      </c>
    </row>
    <row r="147" spans="27:30" x14ac:dyDescent="0.45">
      <c r="AA147" s="25">
        <v>144</v>
      </c>
      <c r="AB147" s="25" cm="1">
        <f t="array" ref="AB147">SUMPRODUCT(--(VALUE(LEFT($L$2:$T$7, FIND(",", $L$2:$T$7) - 1)) = AA147)) / COUNTA($L$2:$T$7)</f>
        <v>0</v>
      </c>
      <c r="AC147" s="25">
        <v>0</v>
      </c>
      <c r="AD147" s="25" cm="1">
        <f t="array" ref="AD147">SUMPRODUCT(--(VALUE(RIGHT($L$2:$T$7, LEN($L$2:$T$7) - FIND("°", SUBSTITUTE($L$2:$T$7, ",", "°", 2)))) = AA147)) / COUNTA($L$2:$T$7)</f>
        <v>0</v>
      </c>
    </row>
    <row r="148" spans="27:30" x14ac:dyDescent="0.45">
      <c r="AA148" s="25">
        <v>145</v>
      </c>
      <c r="AB148" s="25" cm="1">
        <f t="array" ref="AB148">SUMPRODUCT(--(VALUE(LEFT($L$2:$T$7, FIND(",", $L$2:$T$7) - 1)) = AA148)) / COUNTA($L$2:$T$7)</f>
        <v>0</v>
      </c>
      <c r="AC148" s="25">
        <v>0</v>
      </c>
      <c r="AD148" s="25" cm="1">
        <f t="array" ref="AD148">SUMPRODUCT(--(VALUE(RIGHT($L$2:$T$7, LEN($L$2:$T$7) - FIND("°", SUBSTITUTE($L$2:$T$7, ",", "°", 2)))) = AA148)) / COUNTA($L$2:$T$7)</f>
        <v>0</v>
      </c>
    </row>
    <row r="149" spans="27:30" x14ac:dyDescent="0.45">
      <c r="AA149" s="25">
        <v>146</v>
      </c>
      <c r="AB149" s="25" cm="1">
        <f t="array" ref="AB149">SUMPRODUCT(--(VALUE(LEFT($L$2:$T$7, FIND(",", $L$2:$T$7) - 1)) = AA149)) / COUNTA($L$2:$T$7)</f>
        <v>0</v>
      </c>
      <c r="AC149" s="25">
        <v>0</v>
      </c>
      <c r="AD149" s="25" cm="1">
        <f t="array" ref="AD149">SUMPRODUCT(--(VALUE(RIGHT($L$2:$T$7, LEN($L$2:$T$7) - FIND("°", SUBSTITUTE($L$2:$T$7, ",", "°", 2)))) = AA149)) / COUNTA($L$2:$T$7)</f>
        <v>0</v>
      </c>
    </row>
    <row r="150" spans="27:30" x14ac:dyDescent="0.45">
      <c r="AA150" s="25">
        <v>147</v>
      </c>
      <c r="AB150" s="25" cm="1">
        <f t="array" ref="AB150">SUMPRODUCT(--(VALUE(LEFT($L$2:$T$7, FIND(",", $L$2:$T$7) - 1)) = AA150)) / COUNTA($L$2:$T$7)</f>
        <v>0</v>
      </c>
      <c r="AC150" s="25">
        <v>0</v>
      </c>
      <c r="AD150" s="25" cm="1">
        <f t="array" ref="AD150">SUMPRODUCT(--(VALUE(RIGHT($L$2:$T$7, LEN($L$2:$T$7) - FIND("°", SUBSTITUTE($L$2:$T$7, ",", "°", 2)))) = AA150)) / COUNTA($L$2:$T$7)</f>
        <v>0</v>
      </c>
    </row>
    <row r="151" spans="27:30" x14ac:dyDescent="0.45">
      <c r="AA151" s="25">
        <v>148</v>
      </c>
      <c r="AB151" s="25" cm="1">
        <f t="array" ref="AB151">SUMPRODUCT(--(VALUE(LEFT($L$2:$T$7, FIND(",", $L$2:$T$7) - 1)) = AA151)) / COUNTA($L$2:$T$7)</f>
        <v>0</v>
      </c>
      <c r="AC151" s="25">
        <v>0</v>
      </c>
      <c r="AD151" s="25" cm="1">
        <f t="array" ref="AD151">SUMPRODUCT(--(VALUE(RIGHT($L$2:$T$7, LEN($L$2:$T$7) - FIND("°", SUBSTITUTE($L$2:$T$7, ",", "°", 2)))) = AA151)) / COUNTA($L$2:$T$7)</f>
        <v>0</v>
      </c>
    </row>
    <row r="152" spans="27:30" x14ac:dyDescent="0.45">
      <c r="AA152" s="25">
        <v>149</v>
      </c>
      <c r="AB152" s="25" cm="1">
        <f t="array" ref="AB152">SUMPRODUCT(--(VALUE(LEFT($L$2:$T$7, FIND(",", $L$2:$T$7) - 1)) = AA152)) / COUNTA($L$2:$T$7)</f>
        <v>0</v>
      </c>
      <c r="AC152" s="25">
        <v>0</v>
      </c>
      <c r="AD152" s="25" cm="1">
        <f t="array" ref="AD152">SUMPRODUCT(--(VALUE(RIGHT($L$2:$T$7, LEN($L$2:$T$7) - FIND("°", SUBSTITUTE($L$2:$T$7, ",", "°", 2)))) = AA152)) / COUNTA($L$2:$T$7)</f>
        <v>0</v>
      </c>
    </row>
    <row r="153" spans="27:30" x14ac:dyDescent="0.45">
      <c r="AA153" s="25">
        <v>150</v>
      </c>
      <c r="AB153" s="25" cm="1">
        <f t="array" ref="AB153">SUMPRODUCT(--(VALUE(LEFT($L$2:$T$7, FIND(",", $L$2:$T$7) - 1)) = AA153)) / COUNTA($L$2:$T$7)</f>
        <v>0</v>
      </c>
      <c r="AC153" s="25">
        <v>0</v>
      </c>
      <c r="AD153" s="25" cm="1">
        <f t="array" ref="AD153">SUMPRODUCT(--(VALUE(RIGHT($L$2:$T$7, LEN($L$2:$T$7) - FIND("°", SUBSTITUTE($L$2:$T$7, ",", "°", 2)))) = AA153)) / COUNTA($L$2:$T$7)</f>
        <v>0</v>
      </c>
    </row>
    <row r="154" spans="27:30" x14ac:dyDescent="0.45">
      <c r="AA154" s="25">
        <v>151</v>
      </c>
      <c r="AB154" s="25" cm="1">
        <f t="array" ref="AB154">SUMPRODUCT(--(VALUE(LEFT($L$2:$T$7, FIND(",", $L$2:$T$7) - 1)) = AA154)) / COUNTA($L$2:$T$7)</f>
        <v>0</v>
      </c>
      <c r="AC154" s="25">
        <v>0</v>
      </c>
      <c r="AD154" s="25" cm="1">
        <f t="array" ref="AD154">SUMPRODUCT(--(VALUE(RIGHT($L$2:$T$7, LEN($L$2:$T$7) - FIND("°", SUBSTITUTE($L$2:$T$7, ",", "°", 2)))) = AA154)) / COUNTA($L$2:$T$7)</f>
        <v>0</v>
      </c>
    </row>
    <row r="155" spans="27:30" x14ac:dyDescent="0.45">
      <c r="AA155" s="25">
        <v>152</v>
      </c>
      <c r="AB155" s="25" cm="1">
        <f t="array" ref="AB155">SUMPRODUCT(--(VALUE(LEFT($L$2:$T$7, FIND(",", $L$2:$T$7) - 1)) = AA155)) / COUNTA($L$2:$T$7)</f>
        <v>0</v>
      </c>
      <c r="AC155" s="25">
        <v>0</v>
      </c>
      <c r="AD155" s="25" cm="1">
        <f t="array" ref="AD155">SUMPRODUCT(--(VALUE(RIGHT($L$2:$T$7, LEN($L$2:$T$7) - FIND("°", SUBSTITUTE($L$2:$T$7, ",", "°", 2)))) = AA155)) / COUNTA($L$2:$T$7)</f>
        <v>0</v>
      </c>
    </row>
    <row r="156" spans="27:30" x14ac:dyDescent="0.45">
      <c r="AA156" s="25">
        <v>153</v>
      </c>
      <c r="AB156" s="25" cm="1">
        <f t="array" ref="AB156">SUMPRODUCT(--(VALUE(LEFT($L$2:$T$7, FIND(",", $L$2:$T$7) - 1)) = AA156)) / COUNTA($L$2:$T$7)</f>
        <v>0</v>
      </c>
      <c r="AC156" s="25">
        <v>0</v>
      </c>
      <c r="AD156" s="25" cm="1">
        <f t="array" ref="AD156">SUMPRODUCT(--(VALUE(RIGHT($L$2:$T$7, LEN($L$2:$T$7) - FIND("°", SUBSTITUTE($L$2:$T$7, ",", "°", 2)))) = AA156)) / COUNTA($L$2:$T$7)</f>
        <v>0</v>
      </c>
    </row>
    <row r="157" spans="27:30" x14ac:dyDescent="0.45">
      <c r="AA157" s="25">
        <v>154</v>
      </c>
      <c r="AB157" s="25" cm="1">
        <f t="array" ref="AB157">SUMPRODUCT(--(VALUE(LEFT($L$2:$T$7, FIND(",", $L$2:$T$7) - 1)) = AA157)) / COUNTA($L$2:$T$7)</f>
        <v>0</v>
      </c>
      <c r="AC157" s="25">
        <v>0</v>
      </c>
      <c r="AD157" s="25" cm="1">
        <f t="array" ref="AD157">SUMPRODUCT(--(VALUE(RIGHT($L$2:$T$7, LEN($L$2:$T$7) - FIND("°", SUBSTITUTE($L$2:$T$7, ",", "°", 2)))) = AA157)) / COUNTA($L$2:$T$7)</f>
        <v>0</v>
      </c>
    </row>
    <row r="158" spans="27:30" x14ac:dyDescent="0.45">
      <c r="AA158" s="25">
        <v>155</v>
      </c>
      <c r="AB158" s="25" cm="1">
        <f t="array" ref="AB158">SUMPRODUCT(--(VALUE(LEFT($L$2:$T$7, FIND(",", $L$2:$T$7) - 1)) = AA158)) / COUNTA($L$2:$T$7)</f>
        <v>0</v>
      </c>
      <c r="AC158" s="25">
        <v>0</v>
      </c>
      <c r="AD158" s="25" cm="1">
        <f t="array" ref="AD158">SUMPRODUCT(--(VALUE(RIGHT($L$2:$T$7, LEN($L$2:$T$7) - FIND("°", SUBSTITUTE($L$2:$T$7, ",", "°", 2)))) = AA158)) / COUNTA($L$2:$T$7)</f>
        <v>0</v>
      </c>
    </row>
    <row r="159" spans="27:30" x14ac:dyDescent="0.45">
      <c r="AA159" s="25">
        <v>156</v>
      </c>
      <c r="AB159" s="25" cm="1">
        <f t="array" ref="AB159">SUMPRODUCT(--(VALUE(LEFT($L$2:$T$7, FIND(",", $L$2:$T$7) - 1)) = AA159)) / COUNTA($L$2:$T$7)</f>
        <v>0</v>
      </c>
      <c r="AC159" s="25">
        <v>0</v>
      </c>
      <c r="AD159" s="25" cm="1">
        <f t="array" ref="AD159">SUMPRODUCT(--(VALUE(RIGHT($L$2:$T$7, LEN($L$2:$T$7) - FIND("°", SUBSTITUTE($L$2:$T$7, ",", "°", 2)))) = AA159)) / COUNTA($L$2:$T$7)</f>
        <v>0</v>
      </c>
    </row>
    <row r="160" spans="27:30" x14ac:dyDescent="0.45">
      <c r="AA160" s="25">
        <v>157</v>
      </c>
      <c r="AB160" s="25" cm="1">
        <f t="array" ref="AB160">SUMPRODUCT(--(VALUE(LEFT($L$2:$T$7, FIND(",", $L$2:$T$7) - 1)) = AA160)) / COUNTA($L$2:$T$7)</f>
        <v>0</v>
      </c>
      <c r="AC160" s="25">
        <v>0</v>
      </c>
      <c r="AD160" s="25" cm="1">
        <f t="array" ref="AD160">SUMPRODUCT(--(VALUE(RIGHT($L$2:$T$7, LEN($L$2:$T$7) - FIND("°", SUBSTITUTE($L$2:$T$7, ",", "°", 2)))) = AA160)) / COUNTA($L$2:$T$7)</f>
        <v>0</v>
      </c>
    </row>
    <row r="161" spans="27:30" x14ac:dyDescent="0.45">
      <c r="AA161" s="25">
        <v>158</v>
      </c>
      <c r="AB161" s="25" cm="1">
        <f t="array" ref="AB161">SUMPRODUCT(--(VALUE(LEFT($L$2:$T$7, FIND(",", $L$2:$T$7) - 1)) = AA161)) / COUNTA($L$2:$T$7)</f>
        <v>0</v>
      </c>
      <c r="AC161" s="25">
        <v>0</v>
      </c>
      <c r="AD161" s="25" cm="1">
        <f t="array" ref="AD161">SUMPRODUCT(--(VALUE(RIGHT($L$2:$T$7, LEN($L$2:$T$7) - FIND("°", SUBSTITUTE($L$2:$T$7, ",", "°", 2)))) = AA161)) / COUNTA($L$2:$T$7)</f>
        <v>0</v>
      </c>
    </row>
    <row r="162" spans="27:30" x14ac:dyDescent="0.45">
      <c r="AA162" s="25">
        <v>159</v>
      </c>
      <c r="AB162" s="25" cm="1">
        <f t="array" ref="AB162">SUMPRODUCT(--(VALUE(LEFT($L$2:$T$7, FIND(",", $L$2:$T$7) - 1)) = AA162)) / COUNTA($L$2:$T$7)</f>
        <v>0</v>
      </c>
      <c r="AC162" s="25">
        <v>0</v>
      </c>
      <c r="AD162" s="25" cm="1">
        <f t="array" ref="AD162">SUMPRODUCT(--(VALUE(RIGHT($L$2:$T$7, LEN($L$2:$T$7) - FIND("°", SUBSTITUTE($L$2:$T$7, ",", "°", 2)))) = AA162)) / COUNTA($L$2:$T$7)</f>
        <v>0</v>
      </c>
    </row>
    <row r="163" spans="27:30" x14ac:dyDescent="0.45">
      <c r="AA163" s="25">
        <v>160</v>
      </c>
      <c r="AB163" s="25" cm="1">
        <f t="array" ref="AB163">SUMPRODUCT(--(VALUE(LEFT($L$2:$T$7, FIND(",", $L$2:$T$7) - 1)) = AA163)) / COUNTA($L$2:$T$7)</f>
        <v>0</v>
      </c>
      <c r="AC163" s="25">
        <v>0</v>
      </c>
      <c r="AD163" s="25" cm="1">
        <f t="array" ref="AD163">SUMPRODUCT(--(VALUE(RIGHT($L$2:$T$7, LEN($L$2:$T$7) - FIND("°", SUBSTITUTE($L$2:$T$7, ",", "°", 2)))) = AA163)) / COUNTA($L$2:$T$7)</f>
        <v>0</v>
      </c>
    </row>
    <row r="164" spans="27:30" x14ac:dyDescent="0.45">
      <c r="AA164" s="25">
        <v>161</v>
      </c>
      <c r="AB164" s="25" cm="1">
        <f t="array" ref="AB164">SUMPRODUCT(--(VALUE(LEFT($L$2:$T$7, FIND(",", $L$2:$T$7) - 1)) = AA164)) / COUNTA($L$2:$T$7)</f>
        <v>0</v>
      </c>
      <c r="AC164" s="25">
        <v>0</v>
      </c>
      <c r="AD164" s="25" cm="1">
        <f t="array" ref="AD164">SUMPRODUCT(--(VALUE(RIGHT($L$2:$T$7, LEN($L$2:$T$7) - FIND("°", SUBSTITUTE($L$2:$T$7, ",", "°", 2)))) = AA164)) / COUNTA($L$2:$T$7)</f>
        <v>0</v>
      </c>
    </row>
    <row r="165" spans="27:30" x14ac:dyDescent="0.45">
      <c r="AA165" s="25">
        <v>162</v>
      </c>
      <c r="AB165" s="25" cm="1">
        <f t="array" ref="AB165">SUMPRODUCT(--(VALUE(LEFT($L$2:$T$7, FIND(",", $L$2:$T$7) - 1)) = AA165)) / COUNTA($L$2:$T$7)</f>
        <v>0</v>
      </c>
      <c r="AC165" s="25">
        <v>0</v>
      </c>
      <c r="AD165" s="25" cm="1">
        <f t="array" ref="AD165">SUMPRODUCT(--(VALUE(RIGHT($L$2:$T$7, LEN($L$2:$T$7) - FIND("°", SUBSTITUTE($L$2:$T$7, ",", "°", 2)))) = AA165)) / COUNTA($L$2:$T$7)</f>
        <v>0</v>
      </c>
    </row>
    <row r="166" spans="27:30" x14ac:dyDescent="0.45">
      <c r="AA166" s="25">
        <v>163</v>
      </c>
      <c r="AB166" s="25" cm="1">
        <f t="array" ref="AB166">SUMPRODUCT(--(VALUE(LEFT($L$2:$T$7, FIND(",", $L$2:$T$7) - 1)) = AA166)) / COUNTA($L$2:$T$7)</f>
        <v>0</v>
      </c>
      <c r="AC166" s="25">
        <v>0</v>
      </c>
      <c r="AD166" s="25" cm="1">
        <f t="array" ref="AD166">SUMPRODUCT(--(VALUE(RIGHT($L$2:$T$7, LEN($L$2:$T$7) - FIND("°", SUBSTITUTE($L$2:$T$7, ",", "°", 2)))) = AA166)) / COUNTA($L$2:$T$7)</f>
        <v>0</v>
      </c>
    </row>
    <row r="167" spans="27:30" x14ac:dyDescent="0.45">
      <c r="AA167" s="25">
        <v>164</v>
      </c>
      <c r="AB167" s="25" cm="1">
        <f t="array" ref="AB167">SUMPRODUCT(--(VALUE(LEFT($L$2:$T$7, FIND(",", $L$2:$T$7) - 1)) = AA167)) / COUNTA($L$2:$T$7)</f>
        <v>0</v>
      </c>
      <c r="AC167" s="25">
        <v>0</v>
      </c>
      <c r="AD167" s="25" cm="1">
        <f t="array" ref="AD167">SUMPRODUCT(--(VALUE(RIGHT($L$2:$T$7, LEN($L$2:$T$7) - FIND("°", SUBSTITUTE($L$2:$T$7, ",", "°", 2)))) = AA167)) / COUNTA($L$2:$T$7)</f>
        <v>0</v>
      </c>
    </row>
    <row r="168" spans="27:30" x14ac:dyDescent="0.45">
      <c r="AA168" s="25">
        <v>165</v>
      </c>
      <c r="AB168" s="25" cm="1">
        <f t="array" ref="AB168">SUMPRODUCT(--(VALUE(LEFT($L$2:$T$7, FIND(",", $L$2:$T$7) - 1)) = AA168)) / COUNTA($L$2:$T$7)</f>
        <v>0</v>
      </c>
      <c r="AC168" s="25">
        <v>0</v>
      </c>
      <c r="AD168" s="25" cm="1">
        <f t="array" ref="AD168">SUMPRODUCT(--(VALUE(RIGHT($L$2:$T$7, LEN($L$2:$T$7) - FIND("°", SUBSTITUTE($L$2:$T$7, ",", "°", 2)))) = AA168)) / COUNTA($L$2:$T$7)</f>
        <v>0</v>
      </c>
    </row>
    <row r="169" spans="27:30" x14ac:dyDescent="0.45">
      <c r="AA169" s="25">
        <v>166</v>
      </c>
      <c r="AB169" s="25" cm="1">
        <f t="array" ref="AB169">SUMPRODUCT(--(VALUE(LEFT($L$2:$T$7, FIND(",", $L$2:$T$7) - 1)) = AA169)) / COUNTA($L$2:$T$7)</f>
        <v>0</v>
      </c>
      <c r="AC169" s="25">
        <v>0</v>
      </c>
      <c r="AD169" s="25" cm="1">
        <f t="array" ref="AD169">SUMPRODUCT(--(VALUE(RIGHT($L$2:$T$7, LEN($L$2:$T$7) - FIND("°", SUBSTITUTE($L$2:$T$7, ",", "°", 2)))) = AA169)) / COUNTA($L$2:$T$7)</f>
        <v>0</v>
      </c>
    </row>
    <row r="170" spans="27:30" x14ac:dyDescent="0.45">
      <c r="AA170" s="25">
        <v>167</v>
      </c>
      <c r="AB170" s="25" cm="1">
        <f t="array" ref="AB170">SUMPRODUCT(--(VALUE(LEFT($L$2:$T$7, FIND(",", $L$2:$T$7) - 1)) = AA170)) / COUNTA($L$2:$T$7)</f>
        <v>0</v>
      </c>
      <c r="AC170" s="25">
        <v>0</v>
      </c>
      <c r="AD170" s="25" cm="1">
        <f t="array" ref="AD170">SUMPRODUCT(--(VALUE(RIGHT($L$2:$T$7, LEN($L$2:$T$7) - FIND("°", SUBSTITUTE($L$2:$T$7, ",", "°", 2)))) = AA170)) / COUNTA($L$2:$T$7)</f>
        <v>0</v>
      </c>
    </row>
    <row r="171" spans="27:30" x14ac:dyDescent="0.45">
      <c r="AA171" s="25">
        <v>168</v>
      </c>
      <c r="AB171" s="25" cm="1">
        <f t="array" ref="AB171">SUMPRODUCT(--(VALUE(LEFT($L$2:$T$7, FIND(",", $L$2:$T$7) - 1)) = AA171)) / COUNTA($L$2:$T$7)</f>
        <v>0</v>
      </c>
      <c r="AC171" s="25">
        <v>0</v>
      </c>
      <c r="AD171" s="25" cm="1">
        <f t="array" ref="AD171">SUMPRODUCT(--(VALUE(RIGHT($L$2:$T$7, LEN($L$2:$T$7) - FIND("°", SUBSTITUTE($L$2:$T$7, ",", "°", 2)))) = AA171)) / COUNTA($L$2:$T$7)</f>
        <v>0</v>
      </c>
    </row>
    <row r="172" spans="27:30" x14ac:dyDescent="0.45">
      <c r="AA172" s="25">
        <v>169</v>
      </c>
      <c r="AB172" s="25" cm="1">
        <f t="array" ref="AB172">SUMPRODUCT(--(VALUE(LEFT($L$2:$T$7, FIND(",", $L$2:$T$7) - 1)) = AA172)) / COUNTA($L$2:$T$7)</f>
        <v>0</v>
      </c>
      <c r="AC172" s="25">
        <v>0</v>
      </c>
      <c r="AD172" s="25" cm="1">
        <f t="array" ref="AD172">SUMPRODUCT(--(VALUE(RIGHT($L$2:$T$7, LEN($L$2:$T$7) - FIND("°", SUBSTITUTE($L$2:$T$7, ",", "°", 2)))) = AA172)) / COUNTA($L$2:$T$7)</f>
        <v>0</v>
      </c>
    </row>
    <row r="173" spans="27:30" x14ac:dyDescent="0.45">
      <c r="AA173" s="25">
        <v>170</v>
      </c>
      <c r="AB173" s="25" cm="1">
        <f t="array" ref="AB173">SUMPRODUCT(--(VALUE(LEFT($L$2:$T$7, FIND(",", $L$2:$T$7) - 1)) = AA173)) / COUNTA($L$2:$T$7)</f>
        <v>0</v>
      </c>
      <c r="AC173" s="25">
        <v>0</v>
      </c>
      <c r="AD173" s="25" cm="1">
        <f t="array" ref="AD173">SUMPRODUCT(--(VALUE(RIGHT($L$2:$T$7, LEN($L$2:$T$7) - FIND("°", SUBSTITUTE($L$2:$T$7, ",", "°", 2)))) = AA173)) / COUNTA($L$2:$T$7)</f>
        <v>0</v>
      </c>
    </row>
    <row r="174" spans="27:30" x14ac:dyDescent="0.45">
      <c r="AA174" s="25">
        <v>171</v>
      </c>
      <c r="AB174" s="25" cm="1">
        <f t="array" ref="AB174">SUMPRODUCT(--(VALUE(LEFT($L$2:$T$7, FIND(",", $L$2:$T$7) - 1)) = AA174)) / COUNTA($L$2:$T$7)</f>
        <v>0</v>
      </c>
      <c r="AC174" s="25">
        <v>0</v>
      </c>
      <c r="AD174" s="25" cm="1">
        <f t="array" ref="AD174">SUMPRODUCT(--(VALUE(RIGHT($L$2:$T$7, LEN($L$2:$T$7) - FIND("°", SUBSTITUTE($L$2:$T$7, ",", "°", 2)))) = AA174)) / COUNTA($L$2:$T$7)</f>
        <v>0</v>
      </c>
    </row>
    <row r="175" spans="27:30" x14ac:dyDescent="0.45">
      <c r="AA175" s="25">
        <v>172</v>
      </c>
      <c r="AB175" s="25" cm="1">
        <f t="array" ref="AB175">SUMPRODUCT(--(VALUE(LEFT($L$2:$T$7, FIND(",", $L$2:$T$7) - 1)) = AA175)) / COUNTA($L$2:$T$7)</f>
        <v>0</v>
      </c>
      <c r="AC175" s="25">
        <v>0</v>
      </c>
      <c r="AD175" s="25" cm="1">
        <f t="array" ref="AD175">SUMPRODUCT(--(VALUE(RIGHT($L$2:$T$7, LEN($L$2:$T$7) - FIND("°", SUBSTITUTE($L$2:$T$7, ",", "°", 2)))) = AA175)) / COUNTA($L$2:$T$7)</f>
        <v>0</v>
      </c>
    </row>
    <row r="176" spans="27:30" x14ac:dyDescent="0.45">
      <c r="AA176" s="25">
        <v>173</v>
      </c>
      <c r="AB176" s="25" cm="1">
        <f t="array" ref="AB176">SUMPRODUCT(--(VALUE(LEFT($L$2:$T$7, FIND(",", $L$2:$T$7) - 1)) = AA176)) / COUNTA($L$2:$T$7)</f>
        <v>0</v>
      </c>
      <c r="AC176" s="25">
        <v>0</v>
      </c>
      <c r="AD176" s="25" cm="1">
        <f t="array" ref="AD176">SUMPRODUCT(--(VALUE(RIGHT($L$2:$T$7, LEN($L$2:$T$7) - FIND("°", SUBSTITUTE($L$2:$T$7, ",", "°", 2)))) = AA176)) / COUNTA($L$2:$T$7)</f>
        <v>0</v>
      </c>
    </row>
    <row r="177" spans="27:30" x14ac:dyDescent="0.45">
      <c r="AA177" s="25">
        <v>174</v>
      </c>
      <c r="AB177" s="25" cm="1">
        <f t="array" ref="AB177">SUMPRODUCT(--(VALUE(LEFT($L$2:$T$7, FIND(",", $L$2:$T$7) - 1)) = AA177)) / COUNTA($L$2:$T$7)</f>
        <v>0</v>
      </c>
      <c r="AC177" s="25">
        <v>0</v>
      </c>
      <c r="AD177" s="25" cm="1">
        <f t="array" ref="AD177">SUMPRODUCT(--(VALUE(RIGHT($L$2:$T$7, LEN($L$2:$T$7) - FIND("°", SUBSTITUTE($L$2:$T$7, ",", "°", 2)))) = AA177)) / COUNTA($L$2:$T$7)</f>
        <v>0</v>
      </c>
    </row>
    <row r="178" spans="27:30" x14ac:dyDescent="0.45">
      <c r="AA178" s="25">
        <v>175</v>
      </c>
      <c r="AB178" s="25" cm="1">
        <f t="array" ref="AB178">SUMPRODUCT(--(VALUE(LEFT($L$2:$T$7, FIND(",", $L$2:$T$7) - 1)) = AA178)) / COUNTA($L$2:$T$7)</f>
        <v>0</v>
      </c>
      <c r="AC178" s="25">
        <v>0</v>
      </c>
      <c r="AD178" s="25" cm="1">
        <f t="array" ref="AD178">SUMPRODUCT(--(VALUE(RIGHT($L$2:$T$7, LEN($L$2:$T$7) - FIND("°", SUBSTITUTE($L$2:$T$7, ",", "°", 2)))) = AA178)) / COUNTA($L$2:$T$7)</f>
        <v>0</v>
      </c>
    </row>
    <row r="179" spans="27:30" x14ac:dyDescent="0.45">
      <c r="AA179" s="25">
        <v>176</v>
      </c>
      <c r="AB179" s="25" cm="1">
        <f t="array" ref="AB179">SUMPRODUCT(--(VALUE(LEFT($L$2:$T$7, FIND(",", $L$2:$T$7) - 1)) = AA179)) / COUNTA($L$2:$T$7)</f>
        <v>0</v>
      </c>
      <c r="AC179" s="25">
        <v>0</v>
      </c>
      <c r="AD179" s="25" cm="1">
        <f t="array" ref="AD179">SUMPRODUCT(--(VALUE(RIGHT($L$2:$T$7, LEN($L$2:$T$7) - FIND("°", SUBSTITUTE($L$2:$T$7, ",", "°", 2)))) = AA179)) / COUNTA($L$2:$T$7)</f>
        <v>0</v>
      </c>
    </row>
    <row r="180" spans="27:30" x14ac:dyDescent="0.45">
      <c r="AA180" s="25">
        <v>177</v>
      </c>
      <c r="AB180" s="25" cm="1">
        <f t="array" ref="AB180">SUMPRODUCT(--(VALUE(LEFT($L$2:$T$7, FIND(",", $L$2:$T$7) - 1)) = AA180)) / COUNTA($L$2:$T$7)</f>
        <v>0</v>
      </c>
      <c r="AC180" s="25">
        <v>0</v>
      </c>
      <c r="AD180" s="25" cm="1">
        <f t="array" ref="AD180">SUMPRODUCT(--(VALUE(RIGHT($L$2:$T$7, LEN($L$2:$T$7) - FIND("°", SUBSTITUTE($L$2:$T$7, ",", "°", 2)))) = AA180)) / COUNTA($L$2:$T$7)</f>
        <v>0</v>
      </c>
    </row>
    <row r="181" spans="27:30" x14ac:dyDescent="0.45">
      <c r="AA181" s="25">
        <v>178</v>
      </c>
      <c r="AB181" s="25" cm="1">
        <f t="array" ref="AB181">SUMPRODUCT(--(VALUE(LEFT($L$2:$T$7, FIND(",", $L$2:$T$7) - 1)) = AA181)) / COUNTA($L$2:$T$7)</f>
        <v>0</v>
      </c>
      <c r="AC181" s="25">
        <v>0</v>
      </c>
      <c r="AD181" s="25" cm="1">
        <f t="array" ref="AD181">SUMPRODUCT(--(VALUE(RIGHT($L$2:$T$7, LEN($L$2:$T$7) - FIND("°", SUBSTITUTE($L$2:$T$7, ",", "°", 2)))) = AA181)) / COUNTA($L$2:$T$7)</f>
        <v>0</v>
      </c>
    </row>
    <row r="182" spans="27:30" x14ac:dyDescent="0.45">
      <c r="AA182" s="25">
        <v>179</v>
      </c>
      <c r="AB182" s="25" cm="1">
        <f t="array" ref="AB182">SUMPRODUCT(--(VALUE(LEFT($L$2:$T$7, FIND(",", $L$2:$T$7) - 1)) = AA182)) / COUNTA($L$2:$T$7)</f>
        <v>0</v>
      </c>
      <c r="AC182" s="25">
        <v>0</v>
      </c>
      <c r="AD182" s="25" cm="1">
        <f t="array" ref="AD182">SUMPRODUCT(--(VALUE(RIGHT($L$2:$T$7, LEN($L$2:$T$7) - FIND("°", SUBSTITUTE($L$2:$T$7, ",", "°", 2)))) = AA182)) / COUNTA($L$2:$T$7)</f>
        <v>0</v>
      </c>
    </row>
    <row r="183" spans="27:30" x14ac:dyDescent="0.45">
      <c r="AA183" s="25">
        <v>180</v>
      </c>
      <c r="AB183" s="25" cm="1">
        <f t="array" ref="AB183">SUMPRODUCT(--(VALUE(LEFT($L$2:$T$7, FIND(",", $L$2:$T$7) - 1)) = AA183)) / COUNTA($L$2:$T$7)</f>
        <v>0</v>
      </c>
      <c r="AC183" s="25">
        <v>0</v>
      </c>
      <c r="AD183" s="25" cm="1">
        <f t="array" ref="AD183">SUMPRODUCT(--(VALUE(RIGHT($L$2:$T$7, LEN($L$2:$T$7) - FIND("°", SUBSTITUTE($L$2:$T$7, ",", "°", 2)))) = AA183)) / COUNTA($L$2:$T$7)</f>
        <v>0</v>
      </c>
    </row>
    <row r="184" spans="27:30" x14ac:dyDescent="0.45">
      <c r="AA184" s="25">
        <v>181</v>
      </c>
      <c r="AB184" s="25" cm="1">
        <f t="array" ref="AB184">SUMPRODUCT(--(VALUE(LEFT($L$2:$T$7, FIND(",", $L$2:$T$7) - 1)) = AA184)) / COUNTA($L$2:$T$7)</f>
        <v>0</v>
      </c>
      <c r="AC184" s="25">
        <v>0</v>
      </c>
      <c r="AD184" s="25" cm="1">
        <f t="array" ref="AD184">SUMPRODUCT(--(VALUE(RIGHT($L$2:$T$7, LEN($L$2:$T$7) - FIND("°", SUBSTITUTE($L$2:$T$7, ",", "°", 2)))) = AA184)) / COUNTA($L$2:$T$7)</f>
        <v>0</v>
      </c>
    </row>
    <row r="185" spans="27:30" x14ac:dyDescent="0.45">
      <c r="AA185" s="25">
        <v>182</v>
      </c>
      <c r="AB185" s="25" cm="1">
        <f t="array" ref="AB185">SUMPRODUCT(--(VALUE(LEFT($L$2:$T$7, FIND(",", $L$2:$T$7) - 1)) = AA185)) / COUNTA($L$2:$T$7)</f>
        <v>0</v>
      </c>
      <c r="AC185" s="25">
        <v>0</v>
      </c>
      <c r="AD185" s="25" cm="1">
        <f t="array" ref="AD185">SUMPRODUCT(--(VALUE(RIGHT($L$2:$T$7, LEN($L$2:$T$7) - FIND("°", SUBSTITUTE($L$2:$T$7, ",", "°", 2)))) = AA185)) / COUNTA($L$2:$T$7)</f>
        <v>0</v>
      </c>
    </row>
    <row r="186" spans="27:30" x14ac:dyDescent="0.45">
      <c r="AA186" s="25">
        <v>183</v>
      </c>
      <c r="AB186" s="25" cm="1">
        <f t="array" ref="AB186">SUMPRODUCT(--(VALUE(LEFT($L$2:$T$7, FIND(",", $L$2:$T$7) - 1)) = AA186)) / COUNTA($L$2:$T$7)</f>
        <v>0</v>
      </c>
      <c r="AC186" s="25">
        <v>0</v>
      </c>
      <c r="AD186" s="25" cm="1">
        <f t="array" ref="AD186">SUMPRODUCT(--(VALUE(RIGHT($L$2:$T$7, LEN($L$2:$T$7) - FIND("°", SUBSTITUTE($L$2:$T$7, ",", "°", 2)))) = AA186)) / COUNTA($L$2:$T$7)</f>
        <v>0</v>
      </c>
    </row>
    <row r="187" spans="27:30" x14ac:dyDescent="0.45">
      <c r="AA187" s="25">
        <v>184</v>
      </c>
      <c r="AB187" s="25" cm="1">
        <f t="array" ref="AB187">SUMPRODUCT(--(VALUE(LEFT($L$2:$T$7, FIND(",", $L$2:$T$7) - 1)) = AA187)) / COUNTA($L$2:$T$7)</f>
        <v>0</v>
      </c>
      <c r="AC187" s="25">
        <v>0</v>
      </c>
      <c r="AD187" s="25" cm="1">
        <f t="array" ref="AD187">SUMPRODUCT(--(VALUE(RIGHT($L$2:$T$7, LEN($L$2:$T$7) - FIND("°", SUBSTITUTE($L$2:$T$7, ",", "°", 2)))) = AA187)) / COUNTA($L$2:$T$7)</f>
        <v>0</v>
      </c>
    </row>
    <row r="188" spans="27:30" x14ac:dyDescent="0.45">
      <c r="AA188" s="25">
        <v>185</v>
      </c>
      <c r="AB188" s="25" cm="1">
        <f t="array" ref="AB188">SUMPRODUCT(--(VALUE(LEFT($L$2:$T$7, FIND(",", $L$2:$T$7) - 1)) = AA188)) / COUNTA($L$2:$T$7)</f>
        <v>0</v>
      </c>
      <c r="AC188" s="25">
        <v>0</v>
      </c>
      <c r="AD188" s="25" cm="1">
        <f t="array" ref="AD188">SUMPRODUCT(--(VALUE(RIGHT($L$2:$T$7, LEN($L$2:$T$7) - FIND("°", SUBSTITUTE($L$2:$T$7, ",", "°", 2)))) = AA188)) / COUNTA($L$2:$T$7)</f>
        <v>0</v>
      </c>
    </row>
    <row r="189" spans="27:30" x14ac:dyDescent="0.45">
      <c r="AA189" s="25">
        <v>186</v>
      </c>
      <c r="AB189" s="25" cm="1">
        <f t="array" ref="AB189">SUMPRODUCT(--(VALUE(LEFT($L$2:$T$7, FIND(",", $L$2:$T$7) - 1)) = AA189)) / COUNTA($L$2:$T$7)</f>
        <v>0</v>
      </c>
      <c r="AC189" s="25">
        <v>0</v>
      </c>
      <c r="AD189" s="25" cm="1">
        <f t="array" ref="AD189">SUMPRODUCT(--(VALUE(RIGHT($L$2:$T$7, LEN($L$2:$T$7) - FIND("°", SUBSTITUTE($L$2:$T$7, ",", "°", 2)))) = AA189)) / COUNTA($L$2:$T$7)</f>
        <v>0</v>
      </c>
    </row>
    <row r="190" spans="27:30" x14ac:dyDescent="0.45">
      <c r="AA190" s="25">
        <v>187</v>
      </c>
      <c r="AB190" s="25" cm="1">
        <f t="array" ref="AB190">SUMPRODUCT(--(VALUE(LEFT($L$2:$T$7, FIND(",", $L$2:$T$7) - 1)) = AA190)) / COUNTA($L$2:$T$7)</f>
        <v>0</v>
      </c>
      <c r="AC190" s="25">
        <v>0</v>
      </c>
      <c r="AD190" s="25" cm="1">
        <f t="array" ref="AD190">SUMPRODUCT(--(VALUE(RIGHT($L$2:$T$7, LEN($L$2:$T$7) - FIND("°", SUBSTITUTE($L$2:$T$7, ",", "°", 2)))) = AA190)) / COUNTA($L$2:$T$7)</f>
        <v>0</v>
      </c>
    </row>
    <row r="191" spans="27:30" x14ac:dyDescent="0.45">
      <c r="AA191" s="25">
        <v>188</v>
      </c>
      <c r="AB191" s="25" cm="1">
        <f t="array" ref="AB191">SUMPRODUCT(--(VALUE(LEFT($L$2:$T$7, FIND(",", $L$2:$T$7) - 1)) = AA191)) / COUNTA($L$2:$T$7)</f>
        <v>0</v>
      </c>
      <c r="AC191" s="25">
        <v>0</v>
      </c>
      <c r="AD191" s="25" cm="1">
        <f t="array" ref="AD191">SUMPRODUCT(--(VALUE(RIGHT($L$2:$T$7, LEN($L$2:$T$7) - FIND("°", SUBSTITUTE($L$2:$T$7, ",", "°", 2)))) = AA191)) / COUNTA($L$2:$T$7)</f>
        <v>0</v>
      </c>
    </row>
    <row r="192" spans="27:30" x14ac:dyDescent="0.45">
      <c r="AA192" s="25">
        <v>189</v>
      </c>
      <c r="AB192" s="25" cm="1">
        <f t="array" ref="AB192">SUMPRODUCT(--(VALUE(LEFT($L$2:$T$7, FIND(",", $L$2:$T$7) - 1)) = AA192)) / COUNTA($L$2:$T$7)</f>
        <v>0</v>
      </c>
      <c r="AC192" s="25">
        <v>0</v>
      </c>
      <c r="AD192" s="25" cm="1">
        <f t="array" ref="AD192">SUMPRODUCT(--(VALUE(RIGHT($L$2:$T$7, LEN($L$2:$T$7) - FIND("°", SUBSTITUTE($L$2:$T$7, ",", "°", 2)))) = AA192)) / COUNTA($L$2:$T$7)</f>
        <v>0</v>
      </c>
    </row>
    <row r="193" spans="27:30" x14ac:dyDescent="0.45">
      <c r="AA193" s="25">
        <v>190</v>
      </c>
      <c r="AB193" s="25" cm="1">
        <f t="array" ref="AB193">SUMPRODUCT(--(VALUE(LEFT($L$2:$T$7, FIND(",", $L$2:$T$7) - 1)) = AA193)) / COUNTA($L$2:$T$7)</f>
        <v>0</v>
      </c>
      <c r="AC193" s="25">
        <v>0</v>
      </c>
      <c r="AD193" s="25" cm="1">
        <f t="array" ref="AD193">SUMPRODUCT(--(VALUE(RIGHT($L$2:$T$7, LEN($L$2:$T$7) - FIND("°", SUBSTITUTE($L$2:$T$7, ",", "°", 2)))) = AA193)) / COUNTA($L$2:$T$7)</f>
        <v>0</v>
      </c>
    </row>
    <row r="194" spans="27:30" x14ac:dyDescent="0.45">
      <c r="AA194" s="25">
        <v>191</v>
      </c>
      <c r="AB194" s="25" cm="1">
        <f t="array" ref="AB194">SUMPRODUCT(--(VALUE(LEFT($L$2:$T$7, FIND(",", $L$2:$T$7) - 1)) = AA194)) / COUNTA($L$2:$T$7)</f>
        <v>0</v>
      </c>
      <c r="AC194" s="25">
        <v>0</v>
      </c>
      <c r="AD194" s="25" cm="1">
        <f t="array" ref="AD194">SUMPRODUCT(--(VALUE(RIGHT($L$2:$T$7, LEN($L$2:$T$7) - FIND("°", SUBSTITUTE($L$2:$T$7, ",", "°", 2)))) = AA194)) / COUNTA($L$2:$T$7)</f>
        <v>0</v>
      </c>
    </row>
    <row r="195" spans="27:30" x14ac:dyDescent="0.45">
      <c r="AA195" s="25">
        <v>192</v>
      </c>
      <c r="AB195" s="25" cm="1">
        <f t="array" ref="AB195">SUMPRODUCT(--(VALUE(LEFT($L$2:$T$7, FIND(",", $L$2:$T$7) - 1)) = AA195)) / COUNTA($L$2:$T$7)</f>
        <v>0</v>
      </c>
      <c r="AC195" s="25">
        <v>0</v>
      </c>
      <c r="AD195" s="25" cm="1">
        <f t="array" ref="AD195">SUMPRODUCT(--(VALUE(RIGHT($L$2:$T$7, LEN($L$2:$T$7) - FIND("°", SUBSTITUTE($L$2:$T$7, ",", "°", 2)))) = AA195)) / COUNTA($L$2:$T$7)</f>
        <v>0</v>
      </c>
    </row>
    <row r="196" spans="27:30" x14ac:dyDescent="0.45">
      <c r="AA196" s="25">
        <v>193</v>
      </c>
      <c r="AB196" s="25" cm="1">
        <f t="array" ref="AB196">SUMPRODUCT(--(VALUE(LEFT($L$2:$T$7, FIND(",", $L$2:$T$7) - 1)) = AA196)) / COUNTA($L$2:$T$7)</f>
        <v>0</v>
      </c>
      <c r="AC196" s="25">
        <v>0</v>
      </c>
      <c r="AD196" s="25" cm="1">
        <f t="array" ref="AD196">SUMPRODUCT(--(VALUE(RIGHT($L$2:$T$7, LEN($L$2:$T$7) - FIND("°", SUBSTITUTE($L$2:$T$7, ",", "°", 2)))) = AA196)) / COUNTA($L$2:$T$7)</f>
        <v>0</v>
      </c>
    </row>
    <row r="197" spans="27:30" x14ac:dyDescent="0.45">
      <c r="AA197" s="25">
        <v>194</v>
      </c>
      <c r="AB197" s="25" cm="1">
        <f t="array" ref="AB197">SUMPRODUCT(--(VALUE(LEFT($L$2:$T$7, FIND(",", $L$2:$T$7) - 1)) = AA197)) / COUNTA($L$2:$T$7)</f>
        <v>0</v>
      </c>
      <c r="AC197" s="25">
        <v>0</v>
      </c>
      <c r="AD197" s="25" cm="1">
        <f t="array" ref="AD197">SUMPRODUCT(--(VALUE(RIGHT($L$2:$T$7, LEN($L$2:$T$7) - FIND("°", SUBSTITUTE($L$2:$T$7, ",", "°", 2)))) = AA197)) / COUNTA($L$2:$T$7)</f>
        <v>0</v>
      </c>
    </row>
    <row r="198" spans="27:30" x14ac:dyDescent="0.45">
      <c r="AA198" s="25">
        <v>195</v>
      </c>
      <c r="AB198" s="25" cm="1">
        <f t="array" ref="AB198">SUMPRODUCT(--(VALUE(LEFT($L$2:$T$7, FIND(",", $L$2:$T$7) - 1)) = AA198)) / COUNTA($L$2:$T$7)</f>
        <v>0</v>
      </c>
      <c r="AC198" s="25">
        <v>0</v>
      </c>
      <c r="AD198" s="25" cm="1">
        <f t="array" ref="AD198">SUMPRODUCT(--(VALUE(RIGHT($L$2:$T$7, LEN($L$2:$T$7) - FIND("°", SUBSTITUTE($L$2:$T$7, ",", "°", 2)))) = AA198)) / COUNTA($L$2:$T$7)</f>
        <v>0</v>
      </c>
    </row>
    <row r="199" spans="27:30" x14ac:dyDescent="0.45">
      <c r="AA199" s="25">
        <v>196</v>
      </c>
      <c r="AB199" s="25" cm="1">
        <f t="array" ref="AB199">SUMPRODUCT(--(VALUE(LEFT($L$2:$T$7, FIND(",", $L$2:$T$7) - 1)) = AA199)) / COUNTA($L$2:$T$7)</f>
        <v>0</v>
      </c>
      <c r="AC199" s="25">
        <v>0</v>
      </c>
      <c r="AD199" s="25" cm="1">
        <f t="array" ref="AD199">SUMPRODUCT(--(VALUE(RIGHT($L$2:$T$7, LEN($L$2:$T$7) - FIND("°", SUBSTITUTE($L$2:$T$7, ",", "°", 2)))) = AA199)) / COUNTA($L$2:$T$7)</f>
        <v>0</v>
      </c>
    </row>
    <row r="200" spans="27:30" x14ac:dyDescent="0.45">
      <c r="AA200" s="25">
        <v>197</v>
      </c>
      <c r="AB200" s="25" cm="1">
        <f t="array" ref="AB200">SUMPRODUCT(--(VALUE(LEFT($L$2:$T$7, FIND(",", $L$2:$T$7) - 1)) = AA200)) / COUNTA($L$2:$T$7)</f>
        <v>0</v>
      </c>
      <c r="AC200" s="25">
        <v>0</v>
      </c>
      <c r="AD200" s="25" cm="1">
        <f t="array" ref="AD200">SUMPRODUCT(--(VALUE(RIGHT($L$2:$T$7, LEN($L$2:$T$7) - FIND("°", SUBSTITUTE($L$2:$T$7, ",", "°", 2)))) = AA200)) / COUNTA($L$2:$T$7)</f>
        <v>0</v>
      </c>
    </row>
    <row r="201" spans="27:30" x14ac:dyDescent="0.45">
      <c r="AA201" s="25">
        <v>198</v>
      </c>
      <c r="AB201" s="25" cm="1">
        <f t="array" ref="AB201">SUMPRODUCT(--(VALUE(LEFT($L$2:$T$7, FIND(",", $L$2:$T$7) - 1)) = AA201)) / COUNTA($L$2:$T$7)</f>
        <v>0</v>
      </c>
      <c r="AC201" s="25">
        <v>0</v>
      </c>
      <c r="AD201" s="25" cm="1">
        <f t="array" ref="AD201">SUMPRODUCT(--(VALUE(RIGHT($L$2:$T$7, LEN($L$2:$T$7) - FIND("°", SUBSTITUTE($L$2:$T$7, ",", "°", 2)))) = AA201)) / COUNTA($L$2:$T$7)</f>
        <v>0</v>
      </c>
    </row>
    <row r="202" spans="27:30" x14ac:dyDescent="0.45">
      <c r="AA202" s="25">
        <v>199</v>
      </c>
      <c r="AB202" s="25" cm="1">
        <f t="array" ref="AB202">SUMPRODUCT(--(VALUE(LEFT($L$2:$T$7, FIND(",", $L$2:$T$7) - 1)) = AA202)) / COUNTA($L$2:$T$7)</f>
        <v>0</v>
      </c>
      <c r="AC202" s="25">
        <v>0</v>
      </c>
      <c r="AD202" s="25" cm="1">
        <f t="array" ref="AD202">SUMPRODUCT(--(VALUE(RIGHT($L$2:$T$7, LEN($L$2:$T$7) - FIND("°", SUBSTITUTE($L$2:$T$7, ",", "°", 2)))) = AA202)) / COUNTA($L$2:$T$7)</f>
        <v>0</v>
      </c>
    </row>
    <row r="203" spans="27:30" x14ac:dyDescent="0.45">
      <c r="AA203" s="25">
        <v>200</v>
      </c>
      <c r="AB203" s="25" cm="1">
        <f t="array" ref="AB203">SUMPRODUCT(--(VALUE(LEFT($L$2:$T$7, FIND(",", $L$2:$T$7) - 1)) = AA203)) / COUNTA($L$2:$T$7)</f>
        <v>0</v>
      </c>
      <c r="AC203" s="25">
        <v>0</v>
      </c>
      <c r="AD203" s="25" cm="1">
        <f t="array" ref="AD203">SUMPRODUCT(--(VALUE(RIGHT($L$2:$T$7, LEN($L$2:$T$7) - FIND("°", SUBSTITUTE($L$2:$T$7, ",", "°", 2)))) = AA203)) / COUNTA($L$2:$T$7)</f>
        <v>0</v>
      </c>
    </row>
    <row r="204" spans="27:30" x14ac:dyDescent="0.45">
      <c r="AA204" s="25">
        <v>201</v>
      </c>
      <c r="AB204" s="25" cm="1">
        <f t="array" ref="AB204">SUMPRODUCT(--(VALUE(LEFT($L$2:$T$7, FIND(",", $L$2:$T$7) - 1)) = AA204)) / COUNTA($L$2:$T$7)</f>
        <v>0</v>
      </c>
      <c r="AC204" s="25">
        <v>0</v>
      </c>
      <c r="AD204" s="25" cm="1">
        <f t="array" ref="AD204">SUMPRODUCT(--(VALUE(RIGHT($L$2:$T$7, LEN($L$2:$T$7) - FIND("°", SUBSTITUTE($L$2:$T$7, ",", "°", 2)))) = AA204)) / COUNTA($L$2:$T$7)</f>
        <v>0</v>
      </c>
    </row>
    <row r="205" spans="27:30" x14ac:dyDescent="0.45">
      <c r="AA205" s="25">
        <v>202</v>
      </c>
      <c r="AB205" s="25" cm="1">
        <f t="array" ref="AB205">SUMPRODUCT(--(VALUE(LEFT($L$2:$T$7, FIND(",", $L$2:$T$7) - 1)) = AA205)) / COUNTA($L$2:$T$7)</f>
        <v>0</v>
      </c>
      <c r="AC205" s="25">
        <v>0</v>
      </c>
      <c r="AD205" s="25" cm="1">
        <f t="array" ref="AD205">SUMPRODUCT(--(VALUE(RIGHT($L$2:$T$7, LEN($L$2:$T$7) - FIND("°", SUBSTITUTE($L$2:$T$7, ",", "°", 2)))) = AA205)) / COUNTA($L$2:$T$7)</f>
        <v>0</v>
      </c>
    </row>
    <row r="206" spans="27:30" x14ac:dyDescent="0.45">
      <c r="AA206" s="25">
        <v>203</v>
      </c>
      <c r="AB206" s="25" cm="1">
        <f t="array" ref="AB206">SUMPRODUCT(--(VALUE(LEFT($L$2:$T$7, FIND(",", $L$2:$T$7) - 1)) = AA206)) / COUNTA($L$2:$T$7)</f>
        <v>0</v>
      </c>
      <c r="AC206" s="25">
        <v>0</v>
      </c>
      <c r="AD206" s="25" cm="1">
        <f t="array" ref="AD206">SUMPRODUCT(--(VALUE(RIGHT($L$2:$T$7, LEN($L$2:$T$7) - FIND("°", SUBSTITUTE($L$2:$T$7, ",", "°", 2)))) = AA206)) / COUNTA($L$2:$T$7)</f>
        <v>0</v>
      </c>
    </row>
    <row r="207" spans="27:30" x14ac:dyDescent="0.45">
      <c r="AA207" s="25">
        <v>204</v>
      </c>
      <c r="AB207" s="25" cm="1">
        <f t="array" ref="AB207">SUMPRODUCT(--(VALUE(LEFT($L$2:$T$7, FIND(",", $L$2:$T$7) - 1)) = AA207)) / COUNTA($L$2:$T$7)</f>
        <v>0</v>
      </c>
      <c r="AC207" s="25">
        <v>0</v>
      </c>
      <c r="AD207" s="25" cm="1">
        <f t="array" ref="AD207">SUMPRODUCT(--(VALUE(RIGHT($L$2:$T$7, LEN($L$2:$T$7) - FIND("°", SUBSTITUTE($L$2:$T$7, ",", "°", 2)))) = AA207)) / COUNTA($L$2:$T$7)</f>
        <v>0</v>
      </c>
    </row>
    <row r="208" spans="27:30" x14ac:dyDescent="0.45">
      <c r="AA208" s="25">
        <v>205</v>
      </c>
      <c r="AB208" s="25" cm="1">
        <f t="array" ref="AB208">SUMPRODUCT(--(VALUE(LEFT($L$2:$T$7, FIND(",", $L$2:$T$7) - 1)) = AA208)) / COUNTA($L$2:$T$7)</f>
        <v>0</v>
      </c>
      <c r="AC208" s="25">
        <v>0</v>
      </c>
      <c r="AD208" s="25" cm="1">
        <f t="array" ref="AD208">SUMPRODUCT(--(VALUE(RIGHT($L$2:$T$7, LEN($L$2:$T$7) - FIND("°", SUBSTITUTE($L$2:$T$7, ",", "°", 2)))) = AA208)) / COUNTA($L$2:$T$7)</f>
        <v>0</v>
      </c>
    </row>
    <row r="209" spans="27:30" x14ac:dyDescent="0.45">
      <c r="AA209" s="25">
        <v>206</v>
      </c>
      <c r="AB209" s="25" cm="1">
        <f t="array" ref="AB209">SUMPRODUCT(--(VALUE(LEFT($L$2:$T$7, FIND(",", $L$2:$T$7) - 1)) = AA209)) / COUNTA($L$2:$T$7)</f>
        <v>0</v>
      </c>
      <c r="AC209" s="25">
        <v>0</v>
      </c>
      <c r="AD209" s="25" cm="1">
        <f t="array" ref="AD209">SUMPRODUCT(--(VALUE(RIGHT($L$2:$T$7, LEN($L$2:$T$7) - FIND("°", SUBSTITUTE($L$2:$T$7, ",", "°", 2)))) = AA209)) / COUNTA($L$2:$T$7)</f>
        <v>0</v>
      </c>
    </row>
    <row r="210" spans="27:30" x14ac:dyDescent="0.45">
      <c r="AA210" s="25">
        <v>207</v>
      </c>
      <c r="AB210" s="25" cm="1">
        <f t="array" ref="AB210">SUMPRODUCT(--(VALUE(LEFT($L$2:$T$7, FIND(",", $L$2:$T$7) - 1)) = AA210)) / COUNTA($L$2:$T$7)</f>
        <v>0</v>
      </c>
      <c r="AC210" s="25">
        <v>0</v>
      </c>
      <c r="AD210" s="25" cm="1">
        <f t="array" ref="AD210">SUMPRODUCT(--(VALUE(RIGHT($L$2:$T$7, LEN($L$2:$T$7) - FIND("°", SUBSTITUTE($L$2:$T$7, ",", "°", 2)))) = AA210)) / COUNTA($L$2:$T$7)</f>
        <v>0</v>
      </c>
    </row>
    <row r="211" spans="27:30" x14ac:dyDescent="0.45">
      <c r="AA211" s="25">
        <v>208</v>
      </c>
      <c r="AB211" s="25" cm="1">
        <f t="array" ref="AB211">SUMPRODUCT(--(VALUE(LEFT($L$2:$T$7, FIND(",", $L$2:$T$7) - 1)) = AA211)) / COUNTA($L$2:$T$7)</f>
        <v>0</v>
      </c>
      <c r="AC211" s="25">
        <v>0</v>
      </c>
      <c r="AD211" s="25" cm="1">
        <f t="array" ref="AD211">SUMPRODUCT(--(VALUE(RIGHT($L$2:$T$7, LEN($L$2:$T$7) - FIND("°", SUBSTITUTE($L$2:$T$7, ",", "°", 2)))) = AA211)) / COUNTA($L$2:$T$7)</f>
        <v>0</v>
      </c>
    </row>
    <row r="212" spans="27:30" x14ac:dyDescent="0.45">
      <c r="AA212" s="25">
        <v>209</v>
      </c>
      <c r="AB212" s="25" cm="1">
        <f t="array" ref="AB212">SUMPRODUCT(--(VALUE(LEFT($L$2:$T$7, FIND(",", $L$2:$T$7) - 1)) = AA212)) / COUNTA($L$2:$T$7)</f>
        <v>0</v>
      </c>
      <c r="AC212" s="25">
        <v>0</v>
      </c>
      <c r="AD212" s="25" cm="1">
        <f t="array" ref="AD212">SUMPRODUCT(--(VALUE(RIGHT($L$2:$T$7, LEN($L$2:$T$7) - FIND("°", SUBSTITUTE($L$2:$T$7, ",", "°", 2)))) = AA212)) / COUNTA($L$2:$T$7)</f>
        <v>0</v>
      </c>
    </row>
    <row r="213" spans="27:30" x14ac:dyDescent="0.45">
      <c r="AA213" s="25">
        <v>210</v>
      </c>
      <c r="AB213" s="25" cm="1">
        <f t="array" ref="AB213">SUMPRODUCT(--(VALUE(LEFT($L$2:$T$7, FIND(",", $L$2:$T$7) - 1)) = AA213)) / COUNTA($L$2:$T$7)</f>
        <v>0</v>
      </c>
      <c r="AC213" s="25">
        <v>0</v>
      </c>
      <c r="AD213" s="25" cm="1">
        <f t="array" ref="AD213">SUMPRODUCT(--(VALUE(RIGHT($L$2:$T$7, LEN($L$2:$T$7) - FIND("°", SUBSTITUTE($L$2:$T$7, ",", "°", 2)))) = AA213)) / COUNTA($L$2:$T$7)</f>
        <v>0</v>
      </c>
    </row>
    <row r="214" spans="27:30" x14ac:dyDescent="0.45">
      <c r="AA214" s="25">
        <v>211</v>
      </c>
      <c r="AB214" s="25" cm="1">
        <f t="array" ref="AB214">SUMPRODUCT(--(VALUE(LEFT($L$2:$T$7, FIND(",", $L$2:$T$7) - 1)) = AA214)) / COUNTA($L$2:$T$7)</f>
        <v>0</v>
      </c>
      <c r="AC214" s="25">
        <v>0</v>
      </c>
      <c r="AD214" s="25" cm="1">
        <f t="array" ref="AD214">SUMPRODUCT(--(VALUE(RIGHT($L$2:$T$7, LEN($L$2:$T$7) - FIND("°", SUBSTITUTE($L$2:$T$7, ",", "°", 2)))) = AA214)) / COUNTA($L$2:$T$7)</f>
        <v>0</v>
      </c>
    </row>
    <row r="215" spans="27:30" x14ac:dyDescent="0.45">
      <c r="AA215" s="25">
        <v>212</v>
      </c>
      <c r="AB215" s="25" cm="1">
        <f t="array" ref="AB215">SUMPRODUCT(--(VALUE(LEFT($L$2:$T$7, FIND(",", $L$2:$T$7) - 1)) = AA215)) / COUNTA($L$2:$T$7)</f>
        <v>0</v>
      </c>
      <c r="AC215" s="25">
        <v>0</v>
      </c>
      <c r="AD215" s="25" cm="1">
        <f t="array" ref="AD215">SUMPRODUCT(--(VALUE(RIGHT($L$2:$T$7, LEN($L$2:$T$7) - FIND("°", SUBSTITUTE($L$2:$T$7, ",", "°", 2)))) = AA215)) / COUNTA($L$2:$T$7)</f>
        <v>0</v>
      </c>
    </row>
    <row r="216" spans="27:30" x14ac:dyDescent="0.45">
      <c r="AA216" s="25">
        <v>213</v>
      </c>
      <c r="AB216" s="25" cm="1">
        <f t="array" ref="AB216">SUMPRODUCT(--(VALUE(LEFT($L$2:$T$7, FIND(",", $L$2:$T$7) - 1)) = AA216)) / COUNTA($L$2:$T$7)</f>
        <v>0</v>
      </c>
      <c r="AC216" s="25">
        <v>0</v>
      </c>
      <c r="AD216" s="25" cm="1">
        <f t="array" ref="AD216">SUMPRODUCT(--(VALUE(RIGHT($L$2:$T$7, LEN($L$2:$T$7) - FIND("°", SUBSTITUTE($L$2:$T$7, ",", "°", 2)))) = AA216)) / COUNTA($L$2:$T$7)</f>
        <v>0</v>
      </c>
    </row>
    <row r="217" spans="27:30" x14ac:dyDescent="0.45">
      <c r="AA217" s="25">
        <v>214</v>
      </c>
      <c r="AB217" s="25" cm="1">
        <f t="array" ref="AB217">SUMPRODUCT(--(VALUE(LEFT($L$2:$T$7, FIND(",", $L$2:$T$7) - 1)) = AA217)) / COUNTA($L$2:$T$7)</f>
        <v>0</v>
      </c>
      <c r="AC217" s="25">
        <v>0</v>
      </c>
      <c r="AD217" s="25" cm="1">
        <f t="array" ref="AD217">SUMPRODUCT(--(VALUE(RIGHT($L$2:$T$7, LEN($L$2:$T$7) - FIND("°", SUBSTITUTE($L$2:$T$7, ",", "°", 2)))) = AA217)) / COUNTA($L$2:$T$7)</f>
        <v>0</v>
      </c>
    </row>
    <row r="218" spans="27:30" x14ac:dyDescent="0.45">
      <c r="AA218" s="25">
        <v>215</v>
      </c>
      <c r="AB218" s="25" cm="1">
        <f t="array" ref="AB218">SUMPRODUCT(--(VALUE(LEFT($L$2:$T$7, FIND(",", $L$2:$T$7) - 1)) = AA218)) / COUNTA($L$2:$T$7)</f>
        <v>0</v>
      </c>
      <c r="AC218" s="25">
        <v>0</v>
      </c>
      <c r="AD218" s="25" cm="1">
        <f t="array" ref="AD218">SUMPRODUCT(--(VALUE(RIGHT($L$2:$T$7, LEN($L$2:$T$7) - FIND("°", SUBSTITUTE($L$2:$T$7, ",", "°", 2)))) = AA218)) / COUNTA($L$2:$T$7)</f>
        <v>0</v>
      </c>
    </row>
    <row r="219" spans="27:30" x14ac:dyDescent="0.45">
      <c r="AA219" s="25">
        <v>216</v>
      </c>
      <c r="AB219" s="25" cm="1">
        <f t="array" ref="AB219">SUMPRODUCT(--(VALUE(LEFT($L$2:$T$7, FIND(",", $L$2:$T$7) - 1)) = AA219)) / COUNTA($L$2:$T$7)</f>
        <v>0</v>
      </c>
      <c r="AC219" s="25">
        <v>0</v>
      </c>
      <c r="AD219" s="25" cm="1">
        <f t="array" ref="AD219">SUMPRODUCT(--(VALUE(RIGHT($L$2:$T$7, LEN($L$2:$T$7) - FIND("°", SUBSTITUTE($L$2:$T$7, ",", "°", 2)))) = AA219)) / COUNTA($L$2:$T$7)</f>
        <v>0</v>
      </c>
    </row>
    <row r="220" spans="27:30" x14ac:dyDescent="0.45">
      <c r="AA220" s="25">
        <v>217</v>
      </c>
      <c r="AB220" s="25" cm="1">
        <f t="array" ref="AB220">SUMPRODUCT(--(VALUE(LEFT($L$2:$T$7, FIND(",", $L$2:$T$7) - 1)) = AA220)) / COUNTA($L$2:$T$7)</f>
        <v>0</v>
      </c>
      <c r="AC220" s="25">
        <v>0</v>
      </c>
      <c r="AD220" s="25" cm="1">
        <f t="array" ref="AD220">SUMPRODUCT(--(VALUE(RIGHT($L$2:$T$7, LEN($L$2:$T$7) - FIND("°", SUBSTITUTE($L$2:$T$7, ",", "°", 2)))) = AA220)) / COUNTA($L$2:$T$7)</f>
        <v>0</v>
      </c>
    </row>
    <row r="221" spans="27:30" x14ac:dyDescent="0.45">
      <c r="AA221" s="25">
        <v>218</v>
      </c>
      <c r="AB221" s="25" cm="1">
        <f t="array" ref="AB221">SUMPRODUCT(--(VALUE(LEFT($L$2:$T$7, FIND(",", $L$2:$T$7) - 1)) = AA221)) / COUNTA($L$2:$T$7)</f>
        <v>0</v>
      </c>
      <c r="AC221" s="25">
        <v>0</v>
      </c>
      <c r="AD221" s="25" cm="1">
        <f t="array" ref="AD221">SUMPRODUCT(--(VALUE(RIGHT($L$2:$T$7, LEN($L$2:$T$7) - FIND("°", SUBSTITUTE($L$2:$T$7, ",", "°", 2)))) = AA221)) / COUNTA($L$2:$T$7)</f>
        <v>0</v>
      </c>
    </row>
    <row r="222" spans="27:30" x14ac:dyDescent="0.45">
      <c r="AA222" s="25">
        <v>219</v>
      </c>
      <c r="AB222" s="25" cm="1">
        <f t="array" ref="AB222">SUMPRODUCT(--(VALUE(LEFT($L$2:$T$7, FIND(",", $L$2:$T$7) - 1)) = AA222)) / COUNTA($L$2:$T$7)</f>
        <v>0</v>
      </c>
      <c r="AC222" s="25">
        <v>0</v>
      </c>
      <c r="AD222" s="25" cm="1">
        <f t="array" ref="AD222">SUMPRODUCT(--(VALUE(RIGHT($L$2:$T$7, LEN($L$2:$T$7) - FIND("°", SUBSTITUTE($L$2:$T$7, ",", "°", 2)))) = AA222)) / COUNTA($L$2:$T$7)</f>
        <v>0</v>
      </c>
    </row>
    <row r="223" spans="27:30" x14ac:dyDescent="0.45">
      <c r="AA223" s="25">
        <v>220</v>
      </c>
      <c r="AB223" s="25" cm="1">
        <f t="array" ref="AB223">SUMPRODUCT(--(VALUE(LEFT($L$2:$T$7, FIND(",", $L$2:$T$7) - 1)) = AA223)) / COUNTA($L$2:$T$7)</f>
        <v>0</v>
      </c>
      <c r="AC223" s="25">
        <v>0</v>
      </c>
      <c r="AD223" s="25" cm="1">
        <f t="array" ref="AD223">SUMPRODUCT(--(VALUE(RIGHT($L$2:$T$7, LEN($L$2:$T$7) - FIND("°", SUBSTITUTE($L$2:$T$7, ",", "°", 2)))) = AA223)) / COUNTA($L$2:$T$7)</f>
        <v>0</v>
      </c>
    </row>
    <row r="224" spans="27:30" x14ac:dyDescent="0.45">
      <c r="AA224" s="25">
        <v>221</v>
      </c>
      <c r="AB224" s="25" cm="1">
        <f t="array" ref="AB224">SUMPRODUCT(--(VALUE(LEFT($L$2:$T$7, FIND(",", $L$2:$T$7) - 1)) = AA224)) / COUNTA($L$2:$T$7)</f>
        <v>0</v>
      </c>
      <c r="AC224" s="25">
        <v>0</v>
      </c>
      <c r="AD224" s="25" cm="1">
        <f t="array" ref="AD224">SUMPRODUCT(--(VALUE(RIGHT($L$2:$T$7, LEN($L$2:$T$7) - FIND("°", SUBSTITUTE($L$2:$T$7, ",", "°", 2)))) = AA224)) / COUNTA($L$2:$T$7)</f>
        <v>0</v>
      </c>
    </row>
    <row r="225" spans="27:30" x14ac:dyDescent="0.45">
      <c r="AA225" s="25">
        <v>222</v>
      </c>
      <c r="AB225" s="25" cm="1">
        <f t="array" ref="AB225">SUMPRODUCT(--(VALUE(LEFT($L$2:$T$7, FIND(",", $L$2:$T$7) - 1)) = AA225)) / COUNTA($L$2:$T$7)</f>
        <v>0</v>
      </c>
      <c r="AC225" s="25">
        <v>0</v>
      </c>
      <c r="AD225" s="25" cm="1">
        <f t="array" ref="AD225">SUMPRODUCT(--(VALUE(RIGHT($L$2:$T$7, LEN($L$2:$T$7) - FIND("°", SUBSTITUTE($L$2:$T$7, ",", "°", 2)))) = AA225)) / COUNTA($L$2:$T$7)</f>
        <v>0</v>
      </c>
    </row>
    <row r="226" spans="27:30" x14ac:dyDescent="0.45">
      <c r="AA226" s="25">
        <v>223</v>
      </c>
      <c r="AB226" s="25" cm="1">
        <f t="array" ref="AB226">SUMPRODUCT(--(VALUE(LEFT($L$2:$T$7, FIND(",", $L$2:$T$7) - 1)) = AA226)) / COUNTA($L$2:$T$7)</f>
        <v>0</v>
      </c>
      <c r="AC226" s="25">
        <v>0</v>
      </c>
      <c r="AD226" s="25" cm="1">
        <f t="array" ref="AD226">SUMPRODUCT(--(VALUE(RIGHT($L$2:$T$7, LEN($L$2:$T$7) - FIND("°", SUBSTITUTE($L$2:$T$7, ",", "°", 2)))) = AA226)) / COUNTA($L$2:$T$7)</f>
        <v>0</v>
      </c>
    </row>
    <row r="227" spans="27:30" x14ac:dyDescent="0.45">
      <c r="AA227" s="25">
        <v>224</v>
      </c>
      <c r="AB227" s="25" cm="1">
        <f t="array" ref="AB227">SUMPRODUCT(--(VALUE(LEFT($L$2:$T$7, FIND(",", $L$2:$T$7) - 1)) = AA227)) / COUNTA($L$2:$T$7)</f>
        <v>0</v>
      </c>
      <c r="AC227" s="25">
        <v>0</v>
      </c>
      <c r="AD227" s="25" cm="1">
        <f t="array" ref="AD227">SUMPRODUCT(--(VALUE(RIGHT($L$2:$T$7, LEN($L$2:$T$7) - FIND("°", SUBSTITUTE($L$2:$T$7, ",", "°", 2)))) = AA227)) / COUNTA($L$2:$T$7)</f>
        <v>0</v>
      </c>
    </row>
    <row r="228" spans="27:30" x14ac:dyDescent="0.45">
      <c r="AA228" s="25">
        <v>225</v>
      </c>
      <c r="AB228" s="25" cm="1">
        <f t="array" ref="AB228">SUMPRODUCT(--(VALUE(LEFT($L$2:$T$7, FIND(",", $L$2:$T$7) - 1)) = AA228)) / COUNTA($L$2:$T$7)</f>
        <v>0</v>
      </c>
      <c r="AC228" s="25">
        <v>0</v>
      </c>
      <c r="AD228" s="25" cm="1">
        <f t="array" ref="AD228">SUMPRODUCT(--(VALUE(RIGHT($L$2:$T$7, LEN($L$2:$T$7) - FIND("°", SUBSTITUTE($L$2:$T$7, ",", "°", 2)))) = AA228)) / COUNTA($L$2:$T$7)</f>
        <v>0</v>
      </c>
    </row>
    <row r="229" spans="27:30" x14ac:dyDescent="0.45">
      <c r="AA229" s="25">
        <v>226</v>
      </c>
      <c r="AB229" s="25" cm="1">
        <f t="array" ref="AB229">SUMPRODUCT(--(VALUE(LEFT($L$2:$T$7, FIND(",", $L$2:$T$7) - 1)) = AA229)) / COUNTA($L$2:$T$7)</f>
        <v>0</v>
      </c>
      <c r="AC229" s="25">
        <v>0</v>
      </c>
      <c r="AD229" s="25" cm="1">
        <f t="array" ref="AD229">SUMPRODUCT(--(VALUE(RIGHT($L$2:$T$7, LEN($L$2:$T$7) - FIND("°", SUBSTITUTE($L$2:$T$7, ",", "°", 2)))) = AA229)) / COUNTA($L$2:$T$7)</f>
        <v>0</v>
      </c>
    </row>
    <row r="230" spans="27:30" x14ac:dyDescent="0.45">
      <c r="AA230" s="25">
        <v>227</v>
      </c>
      <c r="AB230" s="25" cm="1">
        <f t="array" ref="AB230">SUMPRODUCT(--(VALUE(LEFT($L$2:$T$7, FIND(",", $L$2:$T$7) - 1)) = AA230)) / COUNTA($L$2:$T$7)</f>
        <v>0</v>
      </c>
      <c r="AC230" s="25">
        <v>0</v>
      </c>
      <c r="AD230" s="25" cm="1">
        <f t="array" ref="AD230">SUMPRODUCT(--(VALUE(RIGHT($L$2:$T$7, LEN($L$2:$T$7) - FIND("°", SUBSTITUTE($L$2:$T$7, ",", "°", 2)))) = AA230)) / COUNTA($L$2:$T$7)</f>
        <v>0</v>
      </c>
    </row>
    <row r="231" spans="27:30" x14ac:dyDescent="0.45">
      <c r="AA231" s="25">
        <v>228</v>
      </c>
      <c r="AB231" s="25" cm="1">
        <f t="array" ref="AB231">SUMPRODUCT(--(VALUE(LEFT($L$2:$T$7, FIND(",", $L$2:$T$7) - 1)) = AA231)) / COUNTA($L$2:$T$7)</f>
        <v>0</v>
      </c>
      <c r="AC231" s="25">
        <v>0</v>
      </c>
      <c r="AD231" s="25" cm="1">
        <f t="array" ref="AD231">SUMPRODUCT(--(VALUE(RIGHT($L$2:$T$7, LEN($L$2:$T$7) - FIND("°", SUBSTITUTE($L$2:$T$7, ",", "°", 2)))) = AA231)) / COUNTA($L$2:$T$7)</f>
        <v>0</v>
      </c>
    </row>
    <row r="232" spans="27:30" x14ac:dyDescent="0.45">
      <c r="AA232" s="25">
        <v>229</v>
      </c>
      <c r="AB232" s="25" cm="1">
        <f t="array" ref="AB232">SUMPRODUCT(--(VALUE(LEFT($L$2:$T$7, FIND(",", $L$2:$T$7) - 1)) = AA232)) / COUNTA($L$2:$T$7)</f>
        <v>0</v>
      </c>
      <c r="AC232" s="25">
        <v>0</v>
      </c>
      <c r="AD232" s="25" cm="1">
        <f t="array" ref="AD232">SUMPRODUCT(--(VALUE(RIGHT($L$2:$T$7, LEN($L$2:$T$7) - FIND("°", SUBSTITUTE($L$2:$T$7, ",", "°", 2)))) = AA232)) / COUNTA($L$2:$T$7)</f>
        <v>0</v>
      </c>
    </row>
    <row r="233" spans="27:30" x14ac:dyDescent="0.45">
      <c r="AA233" s="25">
        <v>230</v>
      </c>
      <c r="AB233" s="25" cm="1">
        <f t="array" ref="AB233">SUMPRODUCT(--(VALUE(LEFT($L$2:$T$7, FIND(",", $L$2:$T$7) - 1)) = AA233)) / COUNTA($L$2:$T$7)</f>
        <v>0</v>
      </c>
      <c r="AC233" s="25">
        <v>0</v>
      </c>
      <c r="AD233" s="25" cm="1">
        <f t="array" ref="AD233">SUMPRODUCT(--(VALUE(RIGHT($L$2:$T$7, LEN($L$2:$T$7) - FIND("°", SUBSTITUTE($L$2:$T$7, ",", "°", 2)))) = AA233)) / COUNTA($L$2:$T$7)</f>
        <v>0</v>
      </c>
    </row>
    <row r="234" spans="27:30" x14ac:dyDescent="0.45">
      <c r="AA234" s="25">
        <v>231</v>
      </c>
      <c r="AB234" s="25" cm="1">
        <f t="array" ref="AB234">SUMPRODUCT(--(VALUE(LEFT($L$2:$T$7, FIND(",", $L$2:$T$7) - 1)) = AA234)) / COUNTA($L$2:$T$7)</f>
        <v>0</v>
      </c>
      <c r="AC234" s="25">
        <v>0</v>
      </c>
      <c r="AD234" s="25" cm="1">
        <f t="array" ref="AD234">SUMPRODUCT(--(VALUE(RIGHT($L$2:$T$7, LEN($L$2:$T$7) - FIND("°", SUBSTITUTE($L$2:$T$7, ",", "°", 2)))) = AA234)) / COUNTA($L$2:$T$7)</f>
        <v>0</v>
      </c>
    </row>
    <row r="235" spans="27:30" x14ac:dyDescent="0.45">
      <c r="AA235" s="25">
        <v>232</v>
      </c>
      <c r="AB235" s="25" cm="1">
        <f t="array" ref="AB235">SUMPRODUCT(--(VALUE(LEFT($L$2:$T$7, FIND(",", $L$2:$T$7) - 1)) = AA235)) / COUNTA($L$2:$T$7)</f>
        <v>0</v>
      </c>
      <c r="AC235" s="25">
        <v>0</v>
      </c>
      <c r="AD235" s="25" cm="1">
        <f t="array" ref="AD235">SUMPRODUCT(--(VALUE(RIGHT($L$2:$T$7, LEN($L$2:$T$7) - FIND("°", SUBSTITUTE($L$2:$T$7, ",", "°", 2)))) = AA235)) / COUNTA($L$2:$T$7)</f>
        <v>0</v>
      </c>
    </row>
    <row r="236" spans="27:30" x14ac:dyDescent="0.45">
      <c r="AA236" s="25">
        <v>233</v>
      </c>
      <c r="AB236" s="25" cm="1">
        <f t="array" ref="AB236">SUMPRODUCT(--(VALUE(LEFT($L$2:$T$7, FIND(",", $L$2:$T$7) - 1)) = AA236)) / COUNTA($L$2:$T$7)</f>
        <v>0</v>
      </c>
      <c r="AC236" s="25">
        <v>0</v>
      </c>
      <c r="AD236" s="25" cm="1">
        <f t="array" ref="AD236">SUMPRODUCT(--(VALUE(RIGHT($L$2:$T$7, LEN($L$2:$T$7) - FIND("°", SUBSTITUTE($L$2:$T$7, ",", "°", 2)))) = AA236)) / COUNTA($L$2:$T$7)</f>
        <v>0</v>
      </c>
    </row>
    <row r="237" spans="27:30" x14ac:dyDescent="0.45">
      <c r="AA237" s="25">
        <v>234</v>
      </c>
      <c r="AB237" s="25" cm="1">
        <f t="array" ref="AB237">SUMPRODUCT(--(VALUE(LEFT($L$2:$T$7, FIND(",", $L$2:$T$7) - 1)) = AA237)) / COUNTA($L$2:$T$7)</f>
        <v>0</v>
      </c>
      <c r="AC237" s="25">
        <v>0</v>
      </c>
      <c r="AD237" s="25" cm="1">
        <f t="array" ref="AD237">SUMPRODUCT(--(VALUE(RIGHT($L$2:$T$7, LEN($L$2:$T$7) - FIND("°", SUBSTITUTE($L$2:$T$7, ",", "°", 2)))) = AA237)) / COUNTA($L$2:$T$7)</f>
        <v>0</v>
      </c>
    </row>
    <row r="238" spans="27:30" x14ac:dyDescent="0.45">
      <c r="AA238" s="25">
        <v>235</v>
      </c>
      <c r="AB238" s="25" cm="1">
        <f t="array" ref="AB238">SUMPRODUCT(--(VALUE(LEFT($L$2:$T$7, FIND(",", $L$2:$T$7) - 1)) = AA238)) / COUNTA($L$2:$T$7)</f>
        <v>0</v>
      </c>
      <c r="AC238" s="25">
        <v>0</v>
      </c>
      <c r="AD238" s="25" cm="1">
        <f t="array" ref="AD238">SUMPRODUCT(--(VALUE(RIGHT($L$2:$T$7, LEN($L$2:$T$7) - FIND("°", SUBSTITUTE($L$2:$T$7, ",", "°", 2)))) = AA238)) / COUNTA($L$2:$T$7)</f>
        <v>0</v>
      </c>
    </row>
    <row r="239" spans="27:30" x14ac:dyDescent="0.45">
      <c r="AA239" s="25">
        <v>236</v>
      </c>
      <c r="AB239" s="25" cm="1">
        <f t="array" ref="AB239">SUMPRODUCT(--(VALUE(LEFT($L$2:$T$7, FIND(",", $L$2:$T$7) - 1)) = AA239)) / COUNTA($L$2:$T$7)</f>
        <v>0</v>
      </c>
      <c r="AC239" s="25">
        <v>0</v>
      </c>
      <c r="AD239" s="25" cm="1">
        <f t="array" ref="AD239">SUMPRODUCT(--(VALUE(RIGHT($L$2:$T$7, LEN($L$2:$T$7) - FIND("°", SUBSTITUTE($L$2:$T$7, ",", "°", 2)))) = AA239)) / COUNTA($L$2:$T$7)</f>
        <v>0</v>
      </c>
    </row>
    <row r="240" spans="27:30" x14ac:dyDescent="0.45">
      <c r="AA240" s="25">
        <v>237</v>
      </c>
      <c r="AB240" s="25" cm="1">
        <f t="array" ref="AB240">SUMPRODUCT(--(VALUE(LEFT($L$2:$T$7, FIND(",", $L$2:$T$7) - 1)) = AA240)) / COUNTA($L$2:$T$7)</f>
        <v>0</v>
      </c>
      <c r="AC240" s="25">
        <v>0</v>
      </c>
      <c r="AD240" s="25" cm="1">
        <f t="array" ref="AD240">SUMPRODUCT(--(VALUE(RIGHT($L$2:$T$7, LEN($L$2:$T$7) - FIND("°", SUBSTITUTE($L$2:$T$7, ",", "°", 2)))) = AA240)) / COUNTA($L$2:$T$7)</f>
        <v>0</v>
      </c>
    </row>
    <row r="241" spans="27:30" x14ac:dyDescent="0.45">
      <c r="AA241" s="25">
        <v>238</v>
      </c>
      <c r="AB241" s="25" cm="1">
        <f t="array" ref="AB241">SUMPRODUCT(--(VALUE(LEFT($L$2:$T$7, FIND(",", $L$2:$T$7) - 1)) = AA241)) / COUNTA($L$2:$T$7)</f>
        <v>0</v>
      </c>
      <c r="AC241" s="25">
        <v>0</v>
      </c>
      <c r="AD241" s="25" cm="1">
        <f t="array" ref="AD241">SUMPRODUCT(--(VALUE(RIGHT($L$2:$T$7, LEN($L$2:$T$7) - FIND("°", SUBSTITUTE($L$2:$T$7, ",", "°", 2)))) = AA241)) / COUNTA($L$2:$T$7)</f>
        <v>0</v>
      </c>
    </row>
    <row r="242" spans="27:30" x14ac:dyDescent="0.45">
      <c r="AA242" s="25">
        <v>239</v>
      </c>
      <c r="AB242" s="25" cm="1">
        <f t="array" ref="AB242">SUMPRODUCT(--(VALUE(LEFT($L$2:$T$7, FIND(",", $L$2:$T$7) - 1)) = AA242)) / COUNTA($L$2:$T$7)</f>
        <v>0</v>
      </c>
      <c r="AC242" s="25">
        <v>0</v>
      </c>
      <c r="AD242" s="25" cm="1">
        <f t="array" ref="AD242">SUMPRODUCT(--(VALUE(RIGHT($L$2:$T$7, LEN($L$2:$T$7) - FIND("°", SUBSTITUTE($L$2:$T$7, ",", "°", 2)))) = AA242)) / COUNTA($L$2:$T$7)</f>
        <v>0</v>
      </c>
    </row>
    <row r="243" spans="27:30" x14ac:dyDescent="0.45">
      <c r="AA243" s="25">
        <v>240</v>
      </c>
      <c r="AB243" s="25" cm="1">
        <f t="array" ref="AB243">SUMPRODUCT(--(VALUE(LEFT($L$2:$T$7, FIND(",", $L$2:$T$7) - 1)) = AA243)) / COUNTA($L$2:$T$7)</f>
        <v>0</v>
      </c>
      <c r="AC243" s="25">
        <v>0</v>
      </c>
      <c r="AD243" s="25" cm="1">
        <f t="array" ref="AD243">SUMPRODUCT(--(VALUE(RIGHT($L$2:$T$7, LEN($L$2:$T$7) - FIND("°", SUBSTITUTE($L$2:$T$7, ",", "°", 2)))) = AA243)) / COUNTA($L$2:$T$7)</f>
        <v>0</v>
      </c>
    </row>
    <row r="244" spans="27:30" x14ac:dyDescent="0.45">
      <c r="AA244" s="25">
        <v>241</v>
      </c>
      <c r="AB244" s="25" cm="1">
        <f t="array" ref="AB244">SUMPRODUCT(--(VALUE(LEFT($L$2:$T$7, FIND(",", $L$2:$T$7) - 1)) = AA244)) / COUNTA($L$2:$T$7)</f>
        <v>0</v>
      </c>
      <c r="AC244" s="25">
        <v>0</v>
      </c>
      <c r="AD244" s="25" cm="1">
        <f t="array" ref="AD244">SUMPRODUCT(--(VALUE(RIGHT($L$2:$T$7, LEN($L$2:$T$7) - FIND("°", SUBSTITUTE($L$2:$T$7, ",", "°", 2)))) = AA244)) / COUNTA($L$2:$T$7)</f>
        <v>0</v>
      </c>
    </row>
    <row r="245" spans="27:30" x14ac:dyDescent="0.45">
      <c r="AA245" s="25">
        <v>242</v>
      </c>
      <c r="AB245" s="25" cm="1">
        <f t="array" ref="AB245">SUMPRODUCT(--(VALUE(LEFT($L$2:$T$7, FIND(",", $L$2:$T$7) - 1)) = AA245)) / COUNTA($L$2:$T$7)</f>
        <v>0</v>
      </c>
      <c r="AC245" s="25">
        <v>0</v>
      </c>
      <c r="AD245" s="25" cm="1">
        <f t="array" ref="AD245">SUMPRODUCT(--(VALUE(RIGHT($L$2:$T$7, LEN($L$2:$T$7) - FIND("°", SUBSTITUTE($L$2:$T$7, ",", "°", 2)))) = AA245)) / COUNTA($L$2:$T$7)</f>
        <v>0</v>
      </c>
    </row>
    <row r="246" spans="27:30" x14ac:dyDescent="0.45">
      <c r="AA246" s="25">
        <v>243</v>
      </c>
      <c r="AB246" s="25" cm="1">
        <f t="array" ref="AB246">SUMPRODUCT(--(VALUE(LEFT($L$2:$T$7, FIND(",", $L$2:$T$7) - 1)) = AA246)) / COUNTA($L$2:$T$7)</f>
        <v>0</v>
      </c>
      <c r="AC246" s="25">
        <v>0</v>
      </c>
      <c r="AD246" s="25" cm="1">
        <f t="array" ref="AD246">SUMPRODUCT(--(VALUE(RIGHT($L$2:$T$7, LEN($L$2:$T$7) - FIND("°", SUBSTITUTE($L$2:$T$7, ",", "°", 2)))) = AA246)) / COUNTA($L$2:$T$7)</f>
        <v>0</v>
      </c>
    </row>
    <row r="247" spans="27:30" x14ac:dyDescent="0.45">
      <c r="AA247" s="25">
        <v>244</v>
      </c>
      <c r="AB247" s="25" cm="1">
        <f t="array" ref="AB247">SUMPRODUCT(--(VALUE(LEFT($L$2:$T$7, FIND(",", $L$2:$T$7) - 1)) = AA247)) / COUNTA($L$2:$T$7)</f>
        <v>0</v>
      </c>
      <c r="AC247" s="25">
        <v>0</v>
      </c>
      <c r="AD247" s="25" cm="1">
        <f t="array" ref="AD247">SUMPRODUCT(--(VALUE(RIGHT($L$2:$T$7, LEN($L$2:$T$7) - FIND("°", SUBSTITUTE($L$2:$T$7, ",", "°", 2)))) = AA247)) / COUNTA($L$2:$T$7)</f>
        <v>0</v>
      </c>
    </row>
    <row r="248" spans="27:30" x14ac:dyDescent="0.45">
      <c r="AA248" s="25">
        <v>245</v>
      </c>
      <c r="AB248" s="25" cm="1">
        <f t="array" ref="AB248">SUMPRODUCT(--(VALUE(LEFT($L$2:$T$7, FIND(",", $L$2:$T$7) - 1)) = AA248)) / COUNTA($L$2:$T$7)</f>
        <v>0</v>
      </c>
      <c r="AC248" s="25">
        <v>0</v>
      </c>
      <c r="AD248" s="25" cm="1">
        <f t="array" ref="AD248">SUMPRODUCT(--(VALUE(RIGHT($L$2:$T$7, LEN($L$2:$T$7) - FIND("°", SUBSTITUTE($L$2:$T$7, ",", "°", 2)))) = AA248)) / COUNTA($L$2:$T$7)</f>
        <v>0</v>
      </c>
    </row>
    <row r="249" spans="27:30" x14ac:dyDescent="0.45">
      <c r="AA249" s="25">
        <v>246</v>
      </c>
      <c r="AB249" s="25" cm="1">
        <f t="array" ref="AB249">SUMPRODUCT(--(VALUE(LEFT($L$2:$T$7, FIND(",", $L$2:$T$7) - 1)) = AA249)) / COUNTA($L$2:$T$7)</f>
        <v>0</v>
      </c>
      <c r="AC249" s="25">
        <v>0</v>
      </c>
      <c r="AD249" s="25" cm="1">
        <f t="array" ref="AD249">SUMPRODUCT(--(VALUE(RIGHT($L$2:$T$7, LEN($L$2:$T$7) - FIND("°", SUBSTITUTE($L$2:$T$7, ",", "°", 2)))) = AA249)) / COUNTA($L$2:$T$7)</f>
        <v>0</v>
      </c>
    </row>
    <row r="250" spans="27:30" x14ac:dyDescent="0.45">
      <c r="AA250" s="25">
        <v>247</v>
      </c>
      <c r="AB250" s="25" cm="1">
        <f t="array" ref="AB250">SUMPRODUCT(--(VALUE(LEFT($L$2:$T$7, FIND(",", $L$2:$T$7) - 1)) = AA250)) / COUNTA($L$2:$T$7)</f>
        <v>0</v>
      </c>
      <c r="AC250" s="25">
        <v>0</v>
      </c>
      <c r="AD250" s="25" cm="1">
        <f t="array" ref="AD250">SUMPRODUCT(--(VALUE(RIGHT($L$2:$T$7, LEN($L$2:$T$7) - FIND("°", SUBSTITUTE($L$2:$T$7, ",", "°", 2)))) = AA250)) / COUNTA($L$2:$T$7)</f>
        <v>0</v>
      </c>
    </row>
    <row r="251" spans="27:30" x14ac:dyDescent="0.45">
      <c r="AA251" s="25">
        <v>248</v>
      </c>
      <c r="AB251" s="25" cm="1">
        <f t="array" ref="AB251">SUMPRODUCT(--(VALUE(LEFT($L$2:$T$7, FIND(",", $L$2:$T$7) - 1)) = AA251)) / COUNTA($L$2:$T$7)</f>
        <v>0</v>
      </c>
      <c r="AC251" s="25">
        <v>0</v>
      </c>
      <c r="AD251" s="25" cm="1">
        <f t="array" ref="AD251">SUMPRODUCT(--(VALUE(RIGHT($L$2:$T$7, LEN($L$2:$T$7) - FIND("°", SUBSTITUTE($L$2:$T$7, ",", "°", 2)))) = AA251)) / COUNTA($L$2:$T$7)</f>
        <v>0</v>
      </c>
    </row>
    <row r="252" spans="27:30" x14ac:dyDescent="0.45">
      <c r="AA252" s="25">
        <v>249</v>
      </c>
      <c r="AB252" s="25" cm="1">
        <f t="array" ref="AB252">SUMPRODUCT(--(VALUE(LEFT($L$2:$T$7, FIND(",", $L$2:$T$7) - 1)) = AA252)) / COUNTA($L$2:$T$7)</f>
        <v>0</v>
      </c>
      <c r="AC252" s="25">
        <v>0</v>
      </c>
      <c r="AD252" s="25" cm="1">
        <f t="array" ref="AD252">SUMPRODUCT(--(VALUE(RIGHT($L$2:$T$7, LEN($L$2:$T$7) - FIND("°", SUBSTITUTE($L$2:$T$7, ",", "°", 2)))) = AA252)) / COUNTA($L$2:$T$7)</f>
        <v>0</v>
      </c>
    </row>
    <row r="253" spans="27:30" x14ac:dyDescent="0.45">
      <c r="AA253" s="25">
        <v>250</v>
      </c>
      <c r="AB253" s="25" cm="1">
        <f t="array" ref="AB253">SUMPRODUCT(--(VALUE(LEFT($L$2:$T$7, FIND(",", $L$2:$T$7) - 1)) = AA253)) / COUNTA($L$2:$T$7)</f>
        <v>0</v>
      </c>
      <c r="AC253" s="25">
        <v>0</v>
      </c>
      <c r="AD253" s="25" cm="1">
        <f t="array" ref="AD253">SUMPRODUCT(--(VALUE(RIGHT($L$2:$T$7, LEN($L$2:$T$7) - FIND("°", SUBSTITUTE($L$2:$T$7, ",", "°", 2)))) = AA253)) / COUNTA($L$2:$T$7)</f>
        <v>0</v>
      </c>
    </row>
    <row r="254" spans="27:30" x14ac:dyDescent="0.45">
      <c r="AA254" s="25">
        <v>251</v>
      </c>
      <c r="AB254" s="25" cm="1">
        <f t="array" ref="AB254">SUMPRODUCT(--(VALUE(LEFT($L$2:$T$7, FIND(",", $L$2:$T$7) - 1)) = AA254)) / COUNTA($L$2:$T$7)</f>
        <v>0</v>
      </c>
      <c r="AC254" s="25">
        <v>0</v>
      </c>
      <c r="AD254" s="25" cm="1">
        <f t="array" ref="AD254">SUMPRODUCT(--(VALUE(RIGHT($L$2:$T$7, LEN($L$2:$T$7) - FIND("°", SUBSTITUTE($L$2:$T$7, ",", "°", 2)))) = AA254)) / COUNTA($L$2:$T$7)</f>
        <v>0</v>
      </c>
    </row>
    <row r="255" spans="27:30" x14ac:dyDescent="0.45">
      <c r="AA255" s="25">
        <v>252</v>
      </c>
      <c r="AB255" s="25" cm="1">
        <f t="array" ref="AB255">SUMPRODUCT(--(VALUE(LEFT($L$2:$T$7, FIND(",", $L$2:$T$7) - 1)) = AA255)) / COUNTA($L$2:$T$7)</f>
        <v>0</v>
      </c>
      <c r="AC255" s="25">
        <v>0</v>
      </c>
      <c r="AD255" s="25" cm="1">
        <f t="array" ref="AD255">SUMPRODUCT(--(VALUE(RIGHT($L$2:$T$7, LEN($L$2:$T$7) - FIND("°", SUBSTITUTE($L$2:$T$7, ",", "°", 2)))) = AA255)) / COUNTA($L$2:$T$7)</f>
        <v>0</v>
      </c>
    </row>
    <row r="256" spans="27:30" x14ac:dyDescent="0.45">
      <c r="AA256" s="25">
        <v>253</v>
      </c>
      <c r="AB256" s="25" cm="1">
        <f t="array" ref="AB256">SUMPRODUCT(--(VALUE(LEFT($L$2:$T$7, FIND(",", $L$2:$T$7) - 1)) = AA256)) / COUNTA($L$2:$T$7)</f>
        <v>0</v>
      </c>
      <c r="AC256" s="25">
        <v>0</v>
      </c>
      <c r="AD256" s="25" cm="1">
        <f t="array" ref="AD256">SUMPRODUCT(--(VALUE(RIGHT($L$2:$T$7, LEN($L$2:$T$7) - FIND("°", SUBSTITUTE($L$2:$T$7, ",", "°", 2)))) = AA256)) / COUNTA($L$2:$T$7)</f>
        <v>0</v>
      </c>
    </row>
    <row r="257" spans="27:30" x14ac:dyDescent="0.45">
      <c r="AA257" s="25">
        <v>254</v>
      </c>
      <c r="AB257" s="25" cm="1">
        <f t="array" ref="AB257">SUMPRODUCT(--(VALUE(LEFT($L$2:$T$7, FIND(",", $L$2:$T$7) - 1)) = AA257)) / COUNTA($L$2:$T$7)</f>
        <v>0</v>
      </c>
      <c r="AC257" s="25">
        <v>0</v>
      </c>
      <c r="AD257" s="25" cm="1">
        <f t="array" ref="AD257">SUMPRODUCT(--(VALUE(RIGHT($L$2:$T$7, LEN($L$2:$T$7) - FIND("°", SUBSTITUTE($L$2:$T$7, ",", "°", 2)))) = AA257)) / COUNTA($L$2:$T$7)</f>
        <v>0</v>
      </c>
    </row>
    <row r="258" spans="27:30" x14ac:dyDescent="0.45">
      <c r="AA258" s="25">
        <v>255</v>
      </c>
      <c r="AB258" s="25" cm="1">
        <f t="array" ref="AB258">SUMPRODUCT(--(VALUE(LEFT($L$2:$T$7, FIND(",", $L$2:$T$7) - 1)) = AA258)) / COUNTA($L$2:$T$7)</f>
        <v>0.85185185185185186</v>
      </c>
      <c r="AC258" s="25">
        <f>19 / COUNTA($L$2:$T$7)</f>
        <v>0.35185185185185186</v>
      </c>
      <c r="AD258" s="25" cm="1">
        <f t="array" ref="AD258">SUMPRODUCT(--(VALUE(RIGHT($L$2:$T$7, LEN($L$2:$T$7) - FIND("°", SUBSTITUTE($L$2:$T$7, ",", "°", 2)))) = AA258)) / COUNTA($L$2:$T$7)</f>
        <v>0.5</v>
      </c>
    </row>
  </sheetData>
  <mergeCells count="36">
    <mergeCell ref="B25:H25"/>
    <mergeCell ref="B39:B40"/>
    <mergeCell ref="C39:D40"/>
    <mergeCell ref="E39:F40"/>
    <mergeCell ref="G39:H40"/>
    <mergeCell ref="C35:D36"/>
    <mergeCell ref="E35:F36"/>
    <mergeCell ref="G35:H36"/>
    <mergeCell ref="B37:B38"/>
    <mergeCell ref="C37:D38"/>
    <mergeCell ref="E37:F38"/>
    <mergeCell ref="G37:H38"/>
    <mergeCell ref="C31:D32"/>
    <mergeCell ref="E31:F32"/>
    <mergeCell ref="G31:H32"/>
    <mergeCell ref="B31:B32"/>
    <mergeCell ref="A26:A32"/>
    <mergeCell ref="A34:A40"/>
    <mergeCell ref="C34:D34"/>
    <mergeCell ref="E34:F34"/>
    <mergeCell ref="G34:H34"/>
    <mergeCell ref="B35:B36"/>
    <mergeCell ref="B29:B30"/>
    <mergeCell ref="C29:D30"/>
    <mergeCell ref="E29:F30"/>
    <mergeCell ref="G29:H30"/>
    <mergeCell ref="E26:F26"/>
    <mergeCell ref="G26:H26"/>
    <mergeCell ref="C27:D28"/>
    <mergeCell ref="B1:J1"/>
    <mergeCell ref="A9:A23"/>
    <mergeCell ref="L1:T1"/>
    <mergeCell ref="C26:D26"/>
    <mergeCell ref="B27:B28"/>
    <mergeCell ref="E27:F28"/>
    <mergeCell ref="G27:H2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Semana 1</vt:lpstr>
      <vt:lpstr>Semana 2</vt:lpstr>
      <vt:lpstr>Semana 3</vt:lpstr>
      <vt:lpstr>Semana 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Adolfo Rojas</dc:creator>
  <cp:lastModifiedBy>Adolfo Rojas</cp:lastModifiedBy>
  <dcterms:created xsi:type="dcterms:W3CDTF">2025-04-18T21:44:06Z</dcterms:created>
  <dcterms:modified xsi:type="dcterms:W3CDTF">2025-04-21T07:09:30Z</dcterms:modified>
</cp:coreProperties>
</file>